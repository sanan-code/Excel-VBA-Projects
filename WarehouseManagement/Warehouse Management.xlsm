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pivotCache/pivotCacheDefinition14.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defaultThemeVersion="202300"/>
  <mc:AlternateContent xmlns:mc="http://schemas.openxmlformats.org/markup-compatibility/2006">
    <mc:Choice Requires="x15">
      <x15ac:absPath xmlns:x15ac="http://schemas.microsoft.com/office/spreadsheetml/2010/11/ac" url="D:\VBA Projetcs\Anbar (Elnur - Dost)\"/>
    </mc:Choice>
  </mc:AlternateContent>
  <xr:revisionPtr revIDLastSave="0" documentId="13_ncr:1_{B14E1D32-F964-43A8-BD92-30451C6E6BB0}" xr6:coauthVersionLast="47" xr6:coauthVersionMax="47" xr10:uidLastSave="{00000000-0000-0000-0000-000000000000}"/>
  <bookViews>
    <workbookView showSheetTabs="0" xWindow="-108" yWindow="-108" windowWidth="23256" windowHeight="13896" tabRatio="737" xr2:uid="{33772929-F765-4D12-95A6-CA77356EF85F}"/>
  </bookViews>
  <sheets>
    <sheet name="Home" sheetId="1" r:id="rId1"/>
    <sheet name="Dashboard" sheetId="7" r:id="rId2"/>
    <sheet name="Pivot" sheetId="8" state="veryHidden" r:id="rId3"/>
    <sheet name="Sales" sheetId="5" state="veryHidden" r:id="rId4"/>
    <sheet name="Stock - Import Equipment" sheetId="2" state="veryHidden" r:id="rId5"/>
    <sheet name="Stock - Spare Parts" sheetId="3" state="veryHidden" r:id="rId6"/>
    <sheet name="Customer" sheetId="4" state="veryHidden" r:id="rId7"/>
    <sheet name="Source" sheetId="6" state="veryHidden" r:id="rId8"/>
  </sheets>
  <functionGroups builtInGroupCount="19"/>
  <definedNames>
    <definedName name="_xlcn.WorksheetConnection_WarehouseManagement.xlsmSalesEquipment1" hidden="1">SalesEquipment[]</definedName>
    <definedName name="_xlcn.WorksheetConnection_WarehouseManagement.xlsmSalesSpareParts1" hidden="1">SalesSpareParts[]</definedName>
    <definedName name="Slicer_Avadanlığın_adı">#N/A</definedName>
    <definedName name="Slicer_Ehtiyyat_hissələrinin_adı">#N/A</definedName>
    <definedName name="Timeline_Sales_Date">#N/A</definedName>
  </definedNames>
  <calcPr calcId="191029"/>
  <pivotCaches>
    <pivotCache cacheId="1231" r:id="rId9"/>
    <pivotCache cacheId="1234" r:id="rId10"/>
    <pivotCache cacheId="1237" r:id="rId11"/>
    <pivotCache cacheId="1240" r:id="rId12"/>
    <pivotCache cacheId="1243" r:id="rId13"/>
    <pivotCache cacheId="1246" r:id="rId14"/>
    <pivotCache cacheId="1249" r:id="rId15"/>
    <pivotCache cacheId="1252" r:id="rId16"/>
    <pivotCache cacheId="1255" r:id="rId17"/>
    <pivotCache cacheId="1258" r:id="rId18"/>
    <pivotCache cacheId="1261" r:id="rId19"/>
    <pivotCache cacheId="1264" r:id="rId20"/>
  </pivotCaches>
  <extLst>
    <ext xmlns:x14="http://schemas.microsoft.com/office/spreadsheetml/2009/9/main" uri="{876F7934-8845-4945-9796-88D515C7AA90}">
      <x14:pivotCaches>
        <pivotCache cacheId="869" r:id="rId21"/>
      </x14:pivotCaches>
    </ext>
    <ext xmlns:x14="http://schemas.microsoft.com/office/spreadsheetml/2009/9/main" uri="{BBE1A952-AA13-448e-AADC-164F8A28A991}">
      <x14:slicerCaches>
        <x14:slicerCache r:id="rId22"/>
        <x14:slicerCache r:id="rId23"/>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870" r:id="rId24"/>
      </x15:timelineCachePivotCaches>
    </ext>
    <ext xmlns:x15="http://schemas.microsoft.com/office/spreadsheetml/2010/11/main" uri="{D0CA8CA8-9F24-4464-BF8E-62219DCF47F9}">
      <x15:timelineCacheRefs>
        <x15:timelineCacheRef r:id="rId25"/>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lesEquipment 1_f1c1963c-e7ab-4320-8a1e-0d9d4ab58d08" name="SalesEquipment 1" connection="Query - SalesEquipment"/>
          <x15:modelTable id="SalesSpareParts 1_ad045737-b361-42a6-818a-6542448d673e" name="SalesSpareParts 1" connection="Query - SalesSpareParts"/>
          <x15:modelTable id="Sales Calendar_c5ca3fd2-423f-452c-a62e-dc3d3ec4c704" name="Sales Calendar" connection="Query - Sales Calendar"/>
          <x15:modelTable id="SalesSpareParts" name="SalesSpareParts" connection="WorksheetConnection_Warehouse Management.xlsm!SalesSpareParts"/>
          <x15:modelTable id="SalesEquipment" name="SalesEquipment" connection="WorksheetConnection_Warehouse Management.xlsm!SalesEquipment"/>
        </x15:modelTables>
        <x15:modelRelationships>
          <x15:modelRelationship fromTable="SalesEquipment 1" fromColumn="Sales Date" toTable="Sales Calendar" toColumn="Sales Date"/>
          <x15:modelRelationship fromTable="SalesSpareParts 1" fromColumn="Sales Date" toTable="Sales Calendar" toColumn="Sales 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 i="8" l="1"/>
  <c r="M3" i="8"/>
  <c r="C3" i="8"/>
  <c r="A3" i="8"/>
  <c r="G3" i="8"/>
  <c r="E3" i="8"/>
  <c r="A25" i="7" l="1"/>
  <c r="A11" i="7"/>
  <c r="A16" i="7"/>
  <c r="A1" i="7"/>
  <c r="A6" i="7"/>
  <c r="A21"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7ADC95D-8E8C-4B91-A22C-D73B7D86557E}" keepAlive="1" name="Query - Equipment" description="Connection to the 'Equipment' query in the workbook." type="5" refreshedVersion="8" background="1" saveData="1">
    <dbPr connection="Provider=Microsoft.Mashup.OleDb.1;Data Source=$Workbook$;Location=Equipment;Extended Properties=&quot;&quot;" command="SELECT * FROM [Equipment]"/>
  </connection>
  <connection id="2" xr16:uid="{5C602D63-B622-4809-8DCC-26484523FE0D}" name="Query - Sales Calendar" description="Connection to the 'Sales Calendar' query in the workbook." type="100" refreshedVersion="8" minRefreshableVersion="5">
    <extLst>
      <ext xmlns:x15="http://schemas.microsoft.com/office/spreadsheetml/2010/11/main" uri="{DE250136-89BD-433C-8126-D09CA5730AF9}">
        <x15:connection id="2fa4f33f-e650-45b2-8f54-197f75feb7fe"/>
      </ext>
    </extLst>
  </connection>
  <connection id="3" xr16:uid="{77E3FC79-9D82-426D-B018-C4598BE47EF3}" name="Query - SalesEquipment" description="Connection to the 'SalesEquipment' query in the workbook." type="100" refreshedVersion="8" minRefreshableVersion="5">
    <extLst>
      <ext xmlns:x15="http://schemas.microsoft.com/office/spreadsheetml/2010/11/main" uri="{DE250136-89BD-433C-8126-D09CA5730AF9}">
        <x15:connection id="d3f6f0c4-b1cb-44db-b0df-8a6283bdc5a3"/>
      </ext>
    </extLst>
  </connection>
  <connection id="4" xr16:uid="{2648EFE7-BBFB-44A7-BDC7-20B61893E30F}" name="Query - SalesSpareParts" description="Connection to the 'SalesSpareParts' query in the workbook." type="100" refreshedVersion="8" minRefreshableVersion="5">
    <extLst>
      <ext xmlns:x15="http://schemas.microsoft.com/office/spreadsheetml/2010/11/main" uri="{DE250136-89BD-433C-8126-D09CA5730AF9}">
        <x15:connection id="63ac1507-36ae-4917-931f-885bc7b1f9c8"/>
      </ext>
    </extLst>
  </connection>
  <connection id="5" xr16:uid="{282C8B07-3028-4578-838A-AE1CBF32E37B}" keepAlive="1" name="Query - SparePartsNames" description="Connection to the 'SparePartsNames' query in the workbook." type="5" refreshedVersion="8" background="1" saveData="1">
    <dbPr connection="Provider=Microsoft.Mashup.OleDb.1;Data Source=$Workbook$;Location=SparePartsNames;Extended Properties=&quot;&quot;" command="SELECT * FROM [SparePartsNames]"/>
  </connection>
  <connection id="6" xr16:uid="{263CC944-AD1B-440D-B178-55415BE330EF}" keepAlive="1" name="Query - StockImportEquipment" description="Connection to the 'StockImportEquipment' query in the workbook." type="5" refreshedVersion="8" background="1" saveData="1">
    <dbPr connection="Provider=Microsoft.Mashup.OleDb.1;Data Source=$Workbook$;Location=StockImportEquipment;Extended Properties=&quot;&quot;" command="SELECT * FROM [StockImportEquipment]"/>
  </connection>
  <connection id="7" xr16:uid="{F6EC4688-E9DB-448F-A426-0B789001F8A2}" keepAlive="1" name="Query - StockSpareParts" description="Connection to the 'StockSpareParts' query in the workbook." type="5" refreshedVersion="8" background="1" saveData="1">
    <dbPr connection="Provider=Microsoft.Mashup.OleDb.1;Data Source=$Workbook$;Location=StockSpareParts;Extended Properties=&quot;&quot;" command="SELECT * FROM [StockSpareParts]"/>
  </connection>
  <connection id="8" xr16:uid="{6FE4BED1-6361-452A-BD82-913B91A0D4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xr16:uid="{313C490A-B0C8-48E9-9E75-309EF49CA811}" name="WorksheetConnection_Warehouse Management.xlsm!SalesEquipment" type="102" refreshedVersion="8" minRefreshableVersion="5">
    <extLst>
      <ext xmlns:x15="http://schemas.microsoft.com/office/spreadsheetml/2010/11/main" uri="{DE250136-89BD-433C-8126-D09CA5730AF9}">
        <x15:connection id="SalesEquipment" autoDelete="1">
          <x15:rangePr sourceName="_xlcn.WorksheetConnection_WarehouseManagement.xlsmSalesEquipment1"/>
        </x15:connection>
      </ext>
    </extLst>
  </connection>
  <connection id="10" xr16:uid="{B40E1D2C-F23A-406F-94B4-22B6FBAD007C}" name="WorksheetConnection_Warehouse Management.xlsm!SalesSpareParts" type="102" refreshedVersion="8" minRefreshableVersion="5">
    <extLst>
      <ext xmlns:x15="http://schemas.microsoft.com/office/spreadsheetml/2010/11/main" uri="{DE250136-89BD-433C-8126-D09CA5730AF9}">
        <x15:connection id="SalesSpareParts">
          <x15:rangePr sourceName="_xlcn.WorksheetConnection_WarehouseManagement.xlsmSalesSpareParts1"/>
        </x15:connection>
      </ext>
    </extLst>
  </connection>
</connections>
</file>

<file path=xl/sharedStrings.xml><?xml version="1.0" encoding="utf-8"?>
<sst xmlns="http://schemas.openxmlformats.org/spreadsheetml/2006/main" count="311" uniqueCount="143">
  <si>
    <t>ID</t>
  </si>
  <si>
    <t>Name</t>
  </si>
  <si>
    <t>Category ID</t>
  </si>
  <si>
    <t>Model</t>
  </si>
  <si>
    <t>Declaration ID</t>
  </si>
  <si>
    <t>Equipment ID</t>
  </si>
  <si>
    <t>Model ID</t>
  </si>
  <si>
    <t>Import Date</t>
  </si>
  <si>
    <t>Quantity</t>
  </si>
  <si>
    <t>Sales Price</t>
  </si>
  <si>
    <t>Category</t>
  </si>
  <si>
    <t>Sales ID</t>
  </si>
  <si>
    <t>Sales Date</t>
  </si>
  <si>
    <t>Customer ID</t>
  </si>
  <si>
    <t>Last Date of Use</t>
  </si>
  <si>
    <t>Spare Part ID</t>
  </si>
  <si>
    <t>id001</t>
  </si>
  <si>
    <t>id002</t>
  </si>
  <si>
    <t>Equipment category</t>
  </si>
  <si>
    <t>Spare Part Name ID</t>
  </si>
  <si>
    <t>StockSpareParts</t>
  </si>
  <si>
    <t>SparePartsCategory</t>
  </si>
  <si>
    <t>SparePartsNames</t>
  </si>
  <si>
    <t>SalesEquipment</t>
  </si>
  <si>
    <t>SalesSpareParts</t>
  </si>
  <si>
    <t>Customers</t>
  </si>
  <si>
    <t>Stock</t>
  </si>
  <si>
    <t>Total Sales</t>
  </si>
  <si>
    <t>Total sales</t>
  </si>
  <si>
    <t>StockImportEquipment</t>
  </si>
  <si>
    <t>Sanan</t>
  </si>
  <si>
    <t>Araz</t>
  </si>
  <si>
    <t>String</t>
  </si>
  <si>
    <t>Fərdi sahibkar</t>
  </si>
  <si>
    <t>Şirkət</t>
  </si>
  <si>
    <t>Sales Price (Manat)</t>
  </si>
  <si>
    <t>Index</t>
  </si>
  <si>
    <t>AZN</t>
  </si>
  <si>
    <t>From</t>
  </si>
  <si>
    <t>To</t>
  </si>
  <si>
    <t>EURO</t>
  </si>
  <si>
    <t>Price (Manat)</t>
  </si>
  <si>
    <t>Price (Avro)</t>
  </si>
  <si>
    <t>Invoice number</t>
  </si>
  <si>
    <t>c-20240710-122407</t>
  </si>
  <si>
    <t>konkret</t>
  </si>
  <si>
    <t>Equipment</t>
  </si>
  <si>
    <t>Columns</t>
  </si>
  <si>
    <t>Table</t>
  </si>
  <si>
    <t>Satış Tarixi</t>
  </si>
  <si>
    <t>Avadanlıq</t>
  </si>
  <si>
    <t>Müştəri</t>
  </si>
  <si>
    <t>Satış Qiyməti</t>
  </si>
  <si>
    <t>Say</t>
  </si>
  <si>
    <t>Son İstifadə Tarixi</t>
  </si>
  <si>
    <t>Gəlir</t>
  </si>
  <si>
    <t>ec-20240713-151622</t>
  </si>
  <si>
    <t>Esitme cihazi</t>
  </si>
  <si>
    <t>m-20240713-151622</t>
  </si>
  <si>
    <t>Kick olculu</t>
  </si>
  <si>
    <t>e-20240713-151622</t>
  </si>
  <si>
    <t>Yeni avadanliq 1</t>
  </si>
  <si>
    <t>sie-20240713-151622</t>
  </si>
  <si>
    <t>BEYANNAME-001/2024</t>
  </si>
  <si>
    <t>FAKTURA/78954</t>
  </si>
  <si>
    <t>ec-20240713-151723</t>
  </si>
  <si>
    <t>Gorme aparati</t>
  </si>
  <si>
    <t>m-20240713-151723</t>
  </si>
  <si>
    <t>Boyuk olculu</t>
  </si>
  <si>
    <t>e-20240713-151723</t>
  </si>
  <si>
    <t>Yeni avadanliq 2</t>
  </si>
  <si>
    <t>sie-20240713-151723</t>
  </si>
  <si>
    <t>BEYANNAME-2024/5879</t>
  </si>
  <si>
    <t>FAKTURA-78651/785</t>
  </si>
  <si>
    <t>s-20240713-152005</t>
  </si>
  <si>
    <t>Yeni ehtiyyat hissesi 1</t>
  </si>
  <si>
    <t>Esitme vasitesinin coveri</t>
  </si>
  <si>
    <t>se-20240713-152110</t>
  </si>
  <si>
    <t>se-20240713-152348</t>
  </si>
  <si>
    <t>se-20240713-152355</t>
  </si>
  <si>
    <t>se-20240713-152407</t>
  </si>
  <si>
    <t>sie-20240713-152455</t>
  </si>
  <si>
    <t>BEYANNEME-8451/48165</t>
  </si>
  <si>
    <t>FAKTURA-554618-5451</t>
  </si>
  <si>
    <t>s-20240713-152856</t>
  </si>
  <si>
    <t>Yeni ehtiyyat hissesi 2</t>
  </si>
  <si>
    <t>Esitme vasitesinin ortusu</t>
  </si>
  <si>
    <t>s-20240713-154854</t>
  </si>
  <si>
    <t>Yeni ehtiyyat hissesi 3</t>
  </si>
  <si>
    <t>Esitme vasitesinin ortusu yeni</t>
  </si>
  <si>
    <t>Ehtiyyat hissələri</t>
  </si>
  <si>
    <t>Satış dəyəri</t>
  </si>
  <si>
    <t>ssp-20240713-171106</t>
  </si>
  <si>
    <t>BEYANNAME-5544/515</t>
  </si>
  <si>
    <t>FAKTURA-5544/515</t>
  </si>
  <si>
    <t>s-20240713-171150</t>
  </si>
  <si>
    <t>Yeni ehtiyyat hissesi 4</t>
  </si>
  <si>
    <t>Esitme vasitesinin coveri 2</t>
  </si>
  <si>
    <t>ssp-20240713-171150</t>
  </si>
  <si>
    <t>BEYANNEME-845/4851-52</t>
  </si>
  <si>
    <t>FAKTURA78451/-561</t>
  </si>
  <si>
    <t>ssp-20240713-171202</t>
  </si>
  <si>
    <t>ssp-20240713-171215</t>
  </si>
  <si>
    <t>ssp-20240713-171221</t>
  </si>
  <si>
    <t>Alış dəyəri</t>
  </si>
  <si>
    <t>Net qazanc</t>
  </si>
  <si>
    <t>Xərc</t>
  </si>
  <si>
    <t>Bəyannamə</t>
  </si>
  <si>
    <t>Faktura</t>
  </si>
  <si>
    <t>Qiyməti (Manat)</t>
  </si>
  <si>
    <t>Qiyməti (Avro)</t>
  </si>
  <si>
    <t>İdxal tarixi</t>
  </si>
  <si>
    <t>Satış dəyəri (Manat)</t>
  </si>
  <si>
    <t>Ümumi satış</t>
  </si>
  <si>
    <t>Stok</t>
  </si>
  <si>
    <t>Ehtiyyat hissəsi</t>
  </si>
  <si>
    <t>Kateqoriyası</t>
  </si>
  <si>
    <t>ssp-20240713-223229</t>
  </si>
  <si>
    <t>BEY-454198481/851</t>
  </si>
  <si>
    <t>FAKTURA-84514412/84512</t>
  </si>
  <si>
    <t>ssp-20240713-223250</t>
  </si>
  <si>
    <t>se-20240713-223651</t>
  </si>
  <si>
    <t>Row Labels</t>
  </si>
  <si>
    <t>Grand Total</t>
  </si>
  <si>
    <t>Sum of Quantity</t>
  </si>
  <si>
    <t>Ehtiyyat hissələri üzrə ümumi satış sayı</t>
  </si>
  <si>
    <t>Avadanlıq üzrə ümumi satış sayı</t>
  </si>
  <si>
    <t>Sales Date - Calendar</t>
  </si>
  <si>
    <t>Avadanlıq və ehtiyyat hissələri üzrə satışlar tarix əsaslı</t>
  </si>
  <si>
    <t>Total Revenue in Spare Parts</t>
  </si>
  <si>
    <t>Total Revenue in Equipment</t>
  </si>
  <si>
    <t>Net Revenue in Equipment</t>
  </si>
  <si>
    <t>İyul</t>
  </si>
  <si>
    <t>Aylar üzrə gəlir - Line Chart</t>
  </si>
  <si>
    <t>İyun</t>
  </si>
  <si>
    <t>Avqust</t>
  </si>
  <si>
    <t>se-20240714-131439</t>
  </si>
  <si>
    <t>Avadanlıq üzrə gəlir</t>
  </si>
  <si>
    <t>Ehtiyyat hissələri üzrə gəlir</t>
  </si>
  <si>
    <t>Avadanlığın adı üzrə satış sayı</t>
  </si>
  <si>
    <t>se-20240714-133139</t>
  </si>
  <si>
    <t>Net Revenue in Spare Parts</t>
  </si>
  <si>
    <t>Ehtiyyat hissə adı üzrə satış sayı</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</si>
</sst>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4" x14ac:knownFonts="1">
    <font>
      <sz val="10"/>
      <color theme="1"/>
      <name val="Palatino Linotype"/>
      <family val="2"/>
      <charset val="186"/>
    </font>
    <font>
      <b/>
      <sz val="10"/>
      <color theme="1"/>
      <name val="Palatino Linotype"/>
      <family val="1"/>
    </font>
    <font>
      <sz val="8"/>
      <name val="Palatino Linotype"/>
      <family val="2"/>
      <charset val="186"/>
    </font>
    <font>
      <sz val="10"/>
      <color theme="3" tint="0.89999084444715716"/>
      <name val="Palatino Linotype"/>
      <family val="2"/>
      <charset val="186"/>
    </font>
  </fonts>
  <fills count="7">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C000"/>
        <bgColor indexed="64"/>
      </patternFill>
    </fill>
    <fill>
      <patternFill patternType="solid">
        <fgColor theme="2" tint="-9.9978637043366805E-2"/>
        <bgColor indexed="64"/>
      </patternFill>
    </fill>
    <fill>
      <patternFill patternType="solid">
        <fgColor theme="3" tint="0.89999084444715716"/>
        <bgColor indexed="64"/>
      </patternFill>
    </fill>
  </fills>
  <borders count="1">
    <border>
      <left/>
      <right/>
      <top/>
      <bottom/>
      <diagonal/>
    </border>
  </borders>
  <cellStyleXfs count="1">
    <xf numFmtId="0" fontId="0" fillId="0" borderId="0"/>
  </cellStyleXfs>
  <cellXfs count="24">
    <xf numFmtId="0" fontId="0" fillId="0" borderId="0" xfId="0"/>
    <xf numFmtId="0" fontId="0" fillId="0" borderId="0" xfId="0" applyAlignment="1">
      <alignment horizontal="center" vertical="center"/>
    </xf>
    <xf numFmtId="14" fontId="0" fillId="0" borderId="0" xfId="0" applyNumberFormat="1"/>
    <xf numFmtId="1" fontId="0" fillId="0" borderId="0" xfId="0" applyNumberFormat="1"/>
    <xf numFmtId="0" fontId="1" fillId="2" borderId="0" xfId="0" applyFont="1" applyFill="1"/>
    <xf numFmtId="2" fontId="0" fillId="0" borderId="0" xfId="0" applyNumberFormat="1"/>
    <xf numFmtId="164" fontId="0" fillId="0" borderId="0" xfId="0" applyNumberFormat="1"/>
    <xf numFmtId="0" fontId="0" fillId="2" borderId="0" xfId="0" applyFill="1"/>
    <xf numFmtId="0" fontId="0" fillId="3" borderId="0" xfId="0" applyFill="1"/>
    <xf numFmtId="0" fontId="0" fillId="4" borderId="0" xfId="0" applyFill="1"/>
    <xf numFmtId="0" fontId="0" fillId="5" borderId="0" xfId="0" applyFill="1"/>
    <xf numFmtId="0" fontId="0" fillId="0" borderId="0" xfId="0" pivotButton="1"/>
    <xf numFmtId="0" fontId="0" fillId="0" borderId="0" xfId="0" applyAlignment="1">
      <alignment horizontal="left"/>
    </xf>
    <xf numFmtId="0" fontId="0" fillId="2" borderId="0" xfId="0" applyFill="1" applyAlignment="1">
      <alignment horizontal="left" vertical="center" wrapText="1"/>
    </xf>
    <xf numFmtId="0" fontId="0" fillId="0" borderId="0" xfId="0" applyAlignment="1">
      <alignment horizontal="left" vertical="center" wrapText="1"/>
    </xf>
    <xf numFmtId="0" fontId="0" fillId="0" borderId="0" xfId="0" applyAlignment="1">
      <alignment horizontal="left" vertical="center"/>
    </xf>
    <xf numFmtId="2" fontId="0" fillId="0" borderId="0" xfId="0" applyNumberFormat="1" applyAlignment="1">
      <alignment horizontal="left" vertical="center"/>
    </xf>
    <xf numFmtId="0" fontId="0" fillId="0" borderId="0" xfId="0" applyAlignment="1">
      <alignment horizontal="left" indent="1"/>
    </xf>
    <xf numFmtId="0" fontId="0" fillId="6" borderId="0" xfId="0" applyFill="1"/>
    <xf numFmtId="0" fontId="0" fillId="2" borderId="0" xfId="0" applyFill="1" applyAlignment="1">
      <alignment horizontal="center" vertical="center" wrapText="1"/>
    </xf>
    <xf numFmtId="0" fontId="0" fillId="3" borderId="0" xfId="0" applyFill="1" applyAlignment="1">
      <alignment horizontal="center" vertical="center"/>
    </xf>
    <xf numFmtId="0" fontId="0" fillId="0" borderId="0" xfId="0" applyNumberFormat="1"/>
    <xf numFmtId="0" fontId="3" fillId="6" borderId="0" xfId="0" applyFont="1" applyFill="1"/>
    <xf numFmtId="2" fontId="3" fillId="6" borderId="0" xfId="0" applyNumberFormat="1" applyFont="1" applyFill="1"/>
  </cellXfs>
  <cellStyles count="1">
    <cellStyle name="Normal" xfId="0" builtinId="0"/>
  </cellStyles>
  <dxfs count="9">
    <dxf>
      <numFmt numFmtId="2" formatCode="0.00"/>
    </dxf>
    <dxf>
      <numFmt numFmtId="2" formatCode="0.00"/>
    </dxf>
    <dxf>
      <numFmt numFmtId="2" formatCode="0.00"/>
    </dxf>
    <dxf>
      <numFmt numFmtId="1" formatCode="0"/>
    </dxf>
    <dxf>
      <numFmt numFmtId="1" formatCode="0"/>
    </dxf>
    <dxf>
      <numFmt numFmtId="2" formatCode="0.00"/>
    </dxf>
    <dxf>
      <numFmt numFmtId="2" formatCode="0.00"/>
    </dxf>
    <dxf>
      <numFmt numFmtId="2" formatCode="0.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pivotCacheDefinition" Target="pivotCache/pivotCacheDefinition13.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microsoft.com/office/2011/relationships/timelineCache" Target="timelineCaches/timelineCache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8.xml"/><Relationship Id="rId20" Type="http://schemas.openxmlformats.org/officeDocument/2006/relationships/pivotCacheDefinition" Target="pivotCache/pivotCacheDefinition12.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24" Type="http://schemas.openxmlformats.org/officeDocument/2006/relationships/pivotCacheDefinition" Target="pivotCache/pivotCacheDefinition1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pivotCacheDefinition" Target="pivotCache/pivotCacheDefinition7.xml"/><Relationship Id="rId23" Type="http://schemas.microsoft.com/office/2007/relationships/slicerCache" Target="slicerCaches/slicerCache2.xml"/><Relationship Id="rId28" Type="http://schemas.openxmlformats.org/officeDocument/2006/relationships/styles" Target="styles.xml"/><Relationship Id="rId10" Type="http://schemas.openxmlformats.org/officeDocument/2006/relationships/pivotCacheDefinition" Target="pivotCache/pivotCacheDefinition2.xml"/><Relationship Id="rId19" Type="http://schemas.openxmlformats.org/officeDocument/2006/relationships/pivotCacheDefinition" Target="pivotCache/pivotCacheDefinition11.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 Id="rId22" Type="http://schemas.microsoft.com/office/2007/relationships/slicerCache" Target="slicerCaches/slicerCache1.xml"/><Relationship Id="rId27" Type="http://schemas.openxmlformats.org/officeDocument/2006/relationships/connections" Target="connections.xml"/><Relationship Id="rId30" Type="http://schemas.openxmlformats.org/officeDocument/2006/relationships/powerPivotData" Target="model/item.data"/><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[Warehouse Management.xlsm]Pivot!PivotTable10</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az-Latn-AZ"/>
              <a:t>Satış</a:t>
            </a:r>
            <a:r>
              <a:rPr lang="az-Latn-AZ" baseline="0"/>
              <a:t> Sayı</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Pivot!$J$6</c:f>
              <c:strCache>
                <c:ptCount val="1"/>
                <c:pt idx="0">
                  <c:v>Avadanlıq</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Pivot!$I$7:$I$14</c:f>
              <c:multiLvlStrCache>
                <c:ptCount val="5"/>
                <c:lvl>
                  <c:pt idx="0">
                    <c:v>İyul</c:v>
                  </c:pt>
                  <c:pt idx="1">
                    <c:v>Avqust</c:v>
                  </c:pt>
                  <c:pt idx="2">
                    <c:v>İyun</c:v>
                  </c:pt>
                  <c:pt idx="3">
                    <c:v>İyul</c:v>
                  </c:pt>
                  <c:pt idx="4">
                    <c:v>Avqust</c:v>
                  </c:pt>
                </c:lvl>
                <c:lvl>
                  <c:pt idx="0">
                    <c:v>2023</c:v>
                  </c:pt>
                  <c:pt idx="2">
                    <c:v>2024</c:v>
                  </c:pt>
                </c:lvl>
              </c:multiLvlStrCache>
            </c:multiLvlStrRef>
          </c:cat>
          <c:val>
            <c:numRef>
              <c:f>Pivot!$J$7:$J$14</c:f>
              <c:numCache>
                <c:formatCode>General</c:formatCode>
                <c:ptCount val="5"/>
                <c:pt idx="0">
                  <c:v>1</c:v>
                </c:pt>
                <c:pt idx="1">
                  <c:v>5</c:v>
                </c:pt>
                <c:pt idx="2">
                  <c:v>3</c:v>
                </c:pt>
                <c:pt idx="3">
                  <c:v>17</c:v>
                </c:pt>
                <c:pt idx="4">
                  <c:v>6</c:v>
                </c:pt>
              </c:numCache>
            </c:numRef>
          </c:val>
          <c:extLst>
            <c:ext xmlns:c16="http://schemas.microsoft.com/office/drawing/2014/chart" uri="{C3380CC4-5D6E-409C-BE32-E72D297353CC}">
              <c16:uniqueId val="{00000000-C76F-412F-AB7A-58DBF4F2F13F}"/>
            </c:ext>
          </c:extLst>
        </c:ser>
        <c:ser>
          <c:idx val="1"/>
          <c:order val="1"/>
          <c:tx>
            <c:strRef>
              <c:f>Pivot!$K$6</c:f>
              <c:strCache>
                <c:ptCount val="1"/>
                <c:pt idx="0">
                  <c:v>Ehtiyyat hissələri</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Pivot!$I$7:$I$14</c:f>
              <c:multiLvlStrCache>
                <c:ptCount val="5"/>
                <c:lvl>
                  <c:pt idx="0">
                    <c:v>İyul</c:v>
                  </c:pt>
                  <c:pt idx="1">
                    <c:v>Avqust</c:v>
                  </c:pt>
                  <c:pt idx="2">
                    <c:v>İyun</c:v>
                  </c:pt>
                  <c:pt idx="3">
                    <c:v>İyul</c:v>
                  </c:pt>
                  <c:pt idx="4">
                    <c:v>Avqust</c:v>
                  </c:pt>
                </c:lvl>
                <c:lvl>
                  <c:pt idx="0">
                    <c:v>2023</c:v>
                  </c:pt>
                  <c:pt idx="2">
                    <c:v>2024</c:v>
                  </c:pt>
                </c:lvl>
              </c:multiLvlStrCache>
            </c:multiLvlStrRef>
          </c:cat>
          <c:val>
            <c:numRef>
              <c:f>Pivot!$K$7:$K$14</c:f>
              <c:numCache>
                <c:formatCode>General</c:formatCode>
                <c:ptCount val="5"/>
                <c:pt idx="0">
                  <c:v>5</c:v>
                </c:pt>
                <c:pt idx="1">
                  <c:v>10</c:v>
                </c:pt>
                <c:pt idx="3">
                  <c:v>8</c:v>
                </c:pt>
                <c:pt idx="4">
                  <c:v>7</c:v>
                </c:pt>
              </c:numCache>
            </c:numRef>
          </c:val>
          <c:extLst>
            <c:ext xmlns:c16="http://schemas.microsoft.com/office/drawing/2014/chart" uri="{C3380CC4-5D6E-409C-BE32-E72D297353CC}">
              <c16:uniqueId val="{00000001-C76F-412F-AB7A-58DBF4F2F13F}"/>
            </c:ext>
          </c:extLst>
        </c:ser>
        <c:dLbls>
          <c:dLblPos val="ctr"/>
          <c:showLegendKey val="0"/>
          <c:showVal val="1"/>
          <c:showCatName val="0"/>
          <c:showSerName val="0"/>
          <c:showPercent val="0"/>
          <c:showBubbleSize val="0"/>
        </c:dLbls>
        <c:gapWidth val="150"/>
        <c:overlap val="100"/>
        <c:axId val="483810400"/>
        <c:axId val="483832480"/>
      </c:barChart>
      <c:catAx>
        <c:axId val="483810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32480"/>
        <c:crosses val="autoZero"/>
        <c:auto val="1"/>
        <c:lblAlgn val="ctr"/>
        <c:lblOffset val="100"/>
        <c:noMultiLvlLbl val="0"/>
      </c:catAx>
      <c:valAx>
        <c:axId val="483832480"/>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48381040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63500" algn="ctr" rotWithShape="0">
        <a:prstClr val="black">
          <a:alpha val="40000"/>
        </a:prstClr>
      </a:outerShdw>
      <a:softEdge rad="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[Warehouse Management.xlsm]Pivot!PivotTable1</c:name>
    <c:fmtId val="3"/>
  </c:pivotSource>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az-Latn-AZ"/>
              <a:t>Ümumi</a:t>
            </a:r>
            <a:r>
              <a:rPr lang="az-Latn-AZ" baseline="0"/>
              <a:t> gəlir</a:t>
            </a:r>
            <a:endParaRPr lang="en-US"/>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Pivot!$R$6</c:f>
              <c:strCache>
                <c:ptCount val="1"/>
                <c:pt idx="0">
                  <c:v>Ehtiyyat hissələri üzrə gəlir</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Pivot!$Q$7:$Q$14</c:f>
              <c:multiLvlStrCache>
                <c:ptCount val="5"/>
                <c:lvl>
                  <c:pt idx="0">
                    <c:v>İyul</c:v>
                  </c:pt>
                  <c:pt idx="1">
                    <c:v>Avqust</c:v>
                  </c:pt>
                  <c:pt idx="2">
                    <c:v>İyun</c:v>
                  </c:pt>
                  <c:pt idx="3">
                    <c:v>İyul</c:v>
                  </c:pt>
                  <c:pt idx="4">
                    <c:v>Avqust</c:v>
                  </c:pt>
                </c:lvl>
                <c:lvl>
                  <c:pt idx="0">
                    <c:v>2023</c:v>
                  </c:pt>
                  <c:pt idx="2">
                    <c:v>2024</c:v>
                  </c:pt>
                </c:lvl>
              </c:multiLvlStrCache>
            </c:multiLvlStrRef>
          </c:cat>
          <c:val>
            <c:numRef>
              <c:f>Pivot!$R$7:$R$14</c:f>
              <c:numCache>
                <c:formatCode>0.00</c:formatCode>
                <c:ptCount val="5"/>
                <c:pt idx="0">
                  <c:v>35</c:v>
                </c:pt>
                <c:pt idx="1">
                  <c:v>70</c:v>
                </c:pt>
                <c:pt idx="3">
                  <c:v>40</c:v>
                </c:pt>
                <c:pt idx="4">
                  <c:v>35</c:v>
                </c:pt>
              </c:numCache>
            </c:numRef>
          </c:val>
          <c:smooth val="0"/>
          <c:extLst>
            <c:ext xmlns:c16="http://schemas.microsoft.com/office/drawing/2014/chart" uri="{C3380CC4-5D6E-409C-BE32-E72D297353CC}">
              <c16:uniqueId val="{00000002-45EA-454C-A6ED-233384A0EBF8}"/>
            </c:ext>
          </c:extLst>
        </c:ser>
        <c:ser>
          <c:idx val="1"/>
          <c:order val="1"/>
          <c:tx>
            <c:strRef>
              <c:f>Pivot!$S$6</c:f>
              <c:strCache>
                <c:ptCount val="1"/>
                <c:pt idx="0">
                  <c:v>Avadanlıq üzrə gəlir</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Pivot!$Q$7:$Q$14</c:f>
              <c:multiLvlStrCache>
                <c:ptCount val="5"/>
                <c:lvl>
                  <c:pt idx="0">
                    <c:v>İyul</c:v>
                  </c:pt>
                  <c:pt idx="1">
                    <c:v>Avqust</c:v>
                  </c:pt>
                  <c:pt idx="2">
                    <c:v>İyun</c:v>
                  </c:pt>
                  <c:pt idx="3">
                    <c:v>İyul</c:v>
                  </c:pt>
                  <c:pt idx="4">
                    <c:v>Avqust</c:v>
                  </c:pt>
                </c:lvl>
                <c:lvl>
                  <c:pt idx="0">
                    <c:v>2023</c:v>
                  </c:pt>
                  <c:pt idx="2">
                    <c:v>2024</c:v>
                  </c:pt>
                </c:lvl>
              </c:multiLvlStrCache>
            </c:multiLvlStrRef>
          </c:cat>
          <c:val>
            <c:numRef>
              <c:f>Pivot!$S$7:$S$14</c:f>
              <c:numCache>
                <c:formatCode>0.00</c:formatCode>
                <c:ptCount val="5"/>
                <c:pt idx="0">
                  <c:v>15</c:v>
                </c:pt>
                <c:pt idx="1">
                  <c:v>50</c:v>
                </c:pt>
                <c:pt idx="2">
                  <c:v>45</c:v>
                </c:pt>
                <c:pt idx="3">
                  <c:v>255</c:v>
                </c:pt>
                <c:pt idx="4">
                  <c:v>65</c:v>
                </c:pt>
              </c:numCache>
            </c:numRef>
          </c:val>
          <c:smooth val="0"/>
          <c:extLst>
            <c:ext xmlns:c16="http://schemas.microsoft.com/office/drawing/2014/chart" uri="{C3380CC4-5D6E-409C-BE32-E72D297353CC}">
              <c16:uniqueId val="{00000003-45EA-454C-A6ED-233384A0EBF8}"/>
            </c:ext>
          </c:extLst>
        </c:ser>
        <c:dLbls>
          <c:dLblPos val="t"/>
          <c:showLegendKey val="0"/>
          <c:showVal val="1"/>
          <c:showCatName val="0"/>
          <c:showSerName val="0"/>
          <c:showPercent val="0"/>
          <c:showBubbleSize val="0"/>
        </c:dLbls>
        <c:smooth val="0"/>
        <c:axId val="1278679056"/>
        <c:axId val="1278679536"/>
      </c:lineChart>
      <c:catAx>
        <c:axId val="1278679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278679536"/>
        <c:crosses val="autoZero"/>
        <c:auto val="1"/>
        <c:lblAlgn val="ctr"/>
        <c:lblOffset val="100"/>
        <c:noMultiLvlLbl val="0"/>
      </c:catAx>
      <c:valAx>
        <c:axId val="1278679536"/>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278679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63500" algn="ctr" rotWithShape="0">
        <a:prstClr val="black">
          <a:alpha val="40000"/>
        </a:prstClr>
      </a:outerShdw>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[Warehouse Management.xlsm]Pivot!PivotTable3</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az-Latn-AZ"/>
              <a:t>Avadanlıq</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Pivot!$V$6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Pivot!$U$7:$U$9</c:f>
              <c:strCache>
                <c:ptCount val="2"/>
                <c:pt idx="0">
                  <c:v>Yeni avadanliq 1</c:v>
                </c:pt>
                <c:pt idx="1">
                  <c:v>Yeni avadanliq 2</c:v>
                </c:pt>
              </c:strCache>
            </c:strRef>
          </c:cat>
          <c:val>
            <c:numRef>
              <c:f>Pivot!$V$7:$V$9</c:f>
              <c:numCache>
                <c:formatCode>General</c:formatCode>
                <c:ptCount val="2"/>
                <c:pt idx="0">
                  <c:v>7</c:v>
                </c:pt>
                <c:pt idx="1">
                  <c:v>25</c:v>
                </c:pt>
              </c:numCache>
            </c:numRef>
          </c:val>
          <c:extLst>
            <c:ext xmlns:c16="http://schemas.microsoft.com/office/drawing/2014/chart" uri="{C3380CC4-5D6E-409C-BE32-E72D297353CC}">
              <c16:uniqueId val="{00000000-F36D-4082-8AB2-DCCCDEDECFDD}"/>
            </c:ext>
          </c:extLst>
        </c:ser>
        <c:dLbls>
          <c:dLblPos val="outEnd"/>
          <c:showLegendKey val="0"/>
          <c:showVal val="1"/>
          <c:showCatName val="0"/>
          <c:showSerName val="0"/>
          <c:showPercent val="0"/>
          <c:showBubbleSize val="0"/>
        </c:dLbls>
        <c:gapWidth val="182"/>
        <c:axId val="573679440"/>
        <c:axId val="573678960"/>
      </c:barChart>
      <c:catAx>
        <c:axId val="5736794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678960"/>
        <c:crosses val="autoZero"/>
        <c:auto val="1"/>
        <c:lblAlgn val="ctr"/>
        <c:lblOffset val="100"/>
        <c:noMultiLvlLbl val="0"/>
      </c:catAx>
      <c:valAx>
        <c:axId val="573678960"/>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73679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[Warehouse Management.xlsm]Pivot!PivotTable4</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az-Latn-AZ"/>
              <a:t>Ehtiyyat hissələri</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Pivot!$Y$6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Pivot!$X$7:$X$9</c:f>
              <c:strCache>
                <c:ptCount val="2"/>
                <c:pt idx="0">
                  <c:v>Yeni ehtiyyat hissesi 1</c:v>
                </c:pt>
                <c:pt idx="1">
                  <c:v>Yeni ehtiyyat hissesi 4</c:v>
                </c:pt>
              </c:strCache>
            </c:strRef>
          </c:cat>
          <c:val>
            <c:numRef>
              <c:f>Pivot!$Y$7:$Y$9</c:f>
              <c:numCache>
                <c:formatCode>General</c:formatCode>
                <c:ptCount val="2"/>
                <c:pt idx="0">
                  <c:v>15</c:v>
                </c:pt>
                <c:pt idx="1">
                  <c:v>15</c:v>
                </c:pt>
              </c:numCache>
            </c:numRef>
          </c:val>
          <c:extLst>
            <c:ext xmlns:c16="http://schemas.microsoft.com/office/drawing/2014/chart" uri="{C3380CC4-5D6E-409C-BE32-E72D297353CC}">
              <c16:uniqueId val="{00000001-3112-4763-B8A6-BBC2FF0904FA}"/>
            </c:ext>
          </c:extLst>
        </c:ser>
        <c:dLbls>
          <c:dLblPos val="outEnd"/>
          <c:showLegendKey val="0"/>
          <c:showVal val="1"/>
          <c:showCatName val="0"/>
          <c:showSerName val="0"/>
          <c:showPercent val="0"/>
          <c:showBubbleSize val="0"/>
        </c:dLbls>
        <c:gapWidth val="182"/>
        <c:axId val="393346799"/>
        <c:axId val="272978527"/>
      </c:barChart>
      <c:catAx>
        <c:axId val="3933467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2978527"/>
        <c:crosses val="autoZero"/>
        <c:auto val="1"/>
        <c:lblAlgn val="ctr"/>
        <c:lblOffset val="100"/>
        <c:noMultiLvlLbl val="0"/>
      </c:catAx>
      <c:valAx>
        <c:axId val="272978527"/>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3933467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[Warehouse Management.xlsm]Pivot!PivotTable6</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az-Latn-AZ"/>
              <a:t>Net</a:t>
            </a:r>
            <a:r>
              <a:rPr lang="az-Latn-AZ" baseline="0"/>
              <a:t> Qazanc</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Pivot!$AB$6</c:f>
              <c:strCache>
                <c:ptCount val="1"/>
                <c:pt idx="0">
                  <c:v>Avadanlıq</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Pivot!$AA$7:$AA$14</c:f>
              <c:multiLvlStrCache>
                <c:ptCount val="5"/>
                <c:lvl>
                  <c:pt idx="0">
                    <c:v>İyul</c:v>
                  </c:pt>
                  <c:pt idx="1">
                    <c:v>Avqust</c:v>
                  </c:pt>
                  <c:pt idx="2">
                    <c:v>İyun</c:v>
                  </c:pt>
                  <c:pt idx="3">
                    <c:v>İyul</c:v>
                  </c:pt>
                  <c:pt idx="4">
                    <c:v>Avqust</c:v>
                  </c:pt>
                </c:lvl>
                <c:lvl>
                  <c:pt idx="0">
                    <c:v>2023</c:v>
                  </c:pt>
                  <c:pt idx="2">
                    <c:v>2024</c:v>
                  </c:pt>
                </c:lvl>
              </c:multiLvlStrCache>
            </c:multiLvlStrRef>
          </c:cat>
          <c:val>
            <c:numRef>
              <c:f>Pivot!$AB$7:$AB$14</c:f>
              <c:numCache>
                <c:formatCode>0.00</c:formatCode>
                <c:ptCount val="5"/>
                <c:pt idx="0">
                  <c:v>5</c:v>
                </c:pt>
                <c:pt idx="1">
                  <c:v>40</c:v>
                </c:pt>
                <c:pt idx="2">
                  <c:v>15</c:v>
                </c:pt>
                <c:pt idx="3">
                  <c:v>152.101</c:v>
                </c:pt>
                <c:pt idx="4">
                  <c:v>45</c:v>
                </c:pt>
              </c:numCache>
            </c:numRef>
          </c:val>
          <c:smooth val="0"/>
          <c:extLst>
            <c:ext xmlns:c16="http://schemas.microsoft.com/office/drawing/2014/chart" uri="{C3380CC4-5D6E-409C-BE32-E72D297353CC}">
              <c16:uniqueId val="{00000002-9D93-4793-85DF-0FBAD55337BB}"/>
            </c:ext>
          </c:extLst>
        </c:ser>
        <c:ser>
          <c:idx val="1"/>
          <c:order val="1"/>
          <c:tx>
            <c:strRef>
              <c:f>Pivot!$AC$6</c:f>
              <c:strCache>
                <c:ptCount val="1"/>
                <c:pt idx="0">
                  <c:v>Ehtiyyat hissələri</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Pivot!$AA$7:$AA$14</c:f>
              <c:multiLvlStrCache>
                <c:ptCount val="5"/>
                <c:lvl>
                  <c:pt idx="0">
                    <c:v>İyul</c:v>
                  </c:pt>
                  <c:pt idx="1">
                    <c:v>Avqust</c:v>
                  </c:pt>
                  <c:pt idx="2">
                    <c:v>İyun</c:v>
                  </c:pt>
                  <c:pt idx="3">
                    <c:v>İyul</c:v>
                  </c:pt>
                  <c:pt idx="4">
                    <c:v>Avqust</c:v>
                  </c:pt>
                </c:lvl>
                <c:lvl>
                  <c:pt idx="0">
                    <c:v>2023</c:v>
                  </c:pt>
                  <c:pt idx="2">
                    <c:v>2024</c:v>
                  </c:pt>
                </c:lvl>
              </c:multiLvlStrCache>
            </c:multiLvlStrRef>
          </c:cat>
          <c:val>
            <c:numRef>
              <c:f>Pivot!$AC$7:$AC$14</c:f>
              <c:numCache>
                <c:formatCode>0.00</c:formatCode>
                <c:ptCount val="5"/>
                <c:pt idx="0">
                  <c:v>25</c:v>
                </c:pt>
                <c:pt idx="1">
                  <c:v>50</c:v>
                </c:pt>
                <c:pt idx="3">
                  <c:v>16</c:v>
                </c:pt>
                <c:pt idx="4">
                  <c:v>14</c:v>
                </c:pt>
              </c:numCache>
            </c:numRef>
          </c:val>
          <c:smooth val="0"/>
          <c:extLst>
            <c:ext xmlns:c16="http://schemas.microsoft.com/office/drawing/2014/chart" uri="{C3380CC4-5D6E-409C-BE32-E72D297353CC}">
              <c16:uniqueId val="{00000003-9D93-4793-85DF-0FBAD55337BB}"/>
            </c:ext>
          </c:extLst>
        </c:ser>
        <c:dLbls>
          <c:dLblPos val="t"/>
          <c:showLegendKey val="0"/>
          <c:showVal val="1"/>
          <c:showCatName val="0"/>
          <c:showSerName val="0"/>
          <c:showPercent val="0"/>
          <c:showBubbleSize val="0"/>
        </c:dLbls>
        <c:marker val="1"/>
        <c:smooth val="0"/>
        <c:axId val="1151187775"/>
        <c:axId val="1109010159"/>
      </c:lineChart>
      <c:catAx>
        <c:axId val="1151187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9010159"/>
        <c:crosses val="autoZero"/>
        <c:auto val="1"/>
        <c:lblAlgn val="ctr"/>
        <c:lblOffset val="100"/>
        <c:noMultiLvlLbl val="0"/>
      </c:catAx>
      <c:valAx>
        <c:axId val="1109010159"/>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1511877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635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[Warehouse Management.xlsm]Pivot!PivotTable11</c:name>
    <c:fmtId val="1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Pivot!$AE$6</c:f>
              <c:strCache>
                <c:ptCount val="1"/>
                <c:pt idx="0">
                  <c:v>Avadanlıq</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Pivot!$AE$7</c:f>
              <c:strCache>
                <c:ptCount val="1"/>
                <c:pt idx="0">
                  <c:v>Total</c:v>
                </c:pt>
              </c:strCache>
            </c:strRef>
          </c:cat>
          <c:val>
            <c:numRef>
              <c:f>Pivot!$AE$7</c:f>
              <c:numCache>
                <c:formatCode>0.00</c:formatCode>
                <c:ptCount val="1"/>
                <c:pt idx="0">
                  <c:v>257.101</c:v>
                </c:pt>
              </c:numCache>
            </c:numRef>
          </c:val>
          <c:extLst>
            <c:ext xmlns:c16="http://schemas.microsoft.com/office/drawing/2014/chart" uri="{C3380CC4-5D6E-409C-BE32-E72D297353CC}">
              <c16:uniqueId val="{00000000-9882-4765-8F55-0FEB4E785C76}"/>
            </c:ext>
          </c:extLst>
        </c:ser>
        <c:ser>
          <c:idx val="1"/>
          <c:order val="1"/>
          <c:tx>
            <c:strRef>
              <c:f>Pivot!$AF$6</c:f>
              <c:strCache>
                <c:ptCount val="1"/>
                <c:pt idx="0">
                  <c:v>Ehtiyyat hissələri</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Pivot!$AE$7</c:f>
              <c:strCache>
                <c:ptCount val="1"/>
                <c:pt idx="0">
                  <c:v>Total</c:v>
                </c:pt>
              </c:strCache>
            </c:strRef>
          </c:cat>
          <c:val>
            <c:numRef>
              <c:f>Pivot!$AF$7</c:f>
              <c:numCache>
                <c:formatCode>0.00</c:formatCode>
                <c:ptCount val="1"/>
                <c:pt idx="0">
                  <c:v>105</c:v>
                </c:pt>
              </c:numCache>
            </c:numRef>
          </c:val>
          <c:extLst>
            <c:ext xmlns:c16="http://schemas.microsoft.com/office/drawing/2014/chart" uri="{C3380CC4-5D6E-409C-BE32-E72D297353CC}">
              <c16:uniqueId val="{00000001-9882-4765-8F55-0FEB4E785C76}"/>
            </c:ext>
          </c:extLst>
        </c:ser>
        <c:dLbls>
          <c:dLblPos val="ctr"/>
          <c:showLegendKey val="0"/>
          <c:showVal val="1"/>
          <c:showCatName val="0"/>
          <c:showSerName val="0"/>
          <c:showPercent val="0"/>
          <c:showBubbleSize val="0"/>
        </c:dLbls>
        <c:gapWidth val="150"/>
        <c:overlap val="100"/>
        <c:axId val="261861279"/>
        <c:axId val="261859839"/>
      </c:barChart>
      <c:catAx>
        <c:axId val="261861279"/>
        <c:scaling>
          <c:orientation val="minMax"/>
        </c:scaling>
        <c:delete val="1"/>
        <c:axPos val="l"/>
        <c:numFmt formatCode="General" sourceLinked="1"/>
        <c:majorTickMark val="none"/>
        <c:minorTickMark val="none"/>
        <c:tickLblPos val="nextTo"/>
        <c:crossAx val="261859839"/>
        <c:crosses val="autoZero"/>
        <c:auto val="1"/>
        <c:lblAlgn val="ctr"/>
        <c:lblOffset val="100"/>
        <c:noMultiLvlLbl val="0"/>
      </c:catAx>
      <c:valAx>
        <c:axId val="261859839"/>
        <c:scaling>
          <c:orientation val="minMax"/>
        </c:scaling>
        <c:delete val="1"/>
        <c:axPos val="b"/>
        <c:numFmt formatCode="0.00" sourceLinked="1"/>
        <c:majorTickMark val="none"/>
        <c:minorTickMark val="none"/>
        <c:tickLblPos val="nextTo"/>
        <c:crossAx val="261861279"/>
        <c:crosses val="autoZero"/>
        <c:crossBetween val="between"/>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635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jpe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chart" Target="../charts/chart3.xml"/><Relationship Id="rId7" Type="http://schemas.openxmlformats.org/officeDocument/2006/relationships/image" Target="../media/image8.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image" Target="../media/image11.svg"/><Relationship Id="rId4" Type="http://schemas.openxmlformats.org/officeDocument/2006/relationships/chart" Target="../charts/chart4.xml"/><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77</xdr:row>
      <xdr:rowOff>60960</xdr:rowOff>
    </xdr:to>
    <xdr:sp macro="" textlink="">
      <xdr:nvSpPr>
        <xdr:cNvPr id="2" name="vertical navbar">
          <a:extLst>
            <a:ext uri="{FF2B5EF4-FFF2-40B4-BE49-F238E27FC236}">
              <a16:creationId xmlns:a16="http://schemas.microsoft.com/office/drawing/2014/main" id="{6FAC9383-ECFA-3482-CA9D-868E0D24E9E9}"/>
            </a:ext>
          </a:extLst>
        </xdr:cNvPr>
        <xdr:cNvSpPr/>
      </xdr:nvSpPr>
      <xdr:spPr>
        <a:xfrm>
          <a:off x="0" y="0"/>
          <a:ext cx="609600" cy="14729460"/>
        </a:xfrm>
        <a:prstGeom prst="rect">
          <a:avLst/>
        </a:prstGeom>
        <a:solidFill>
          <a:schemeClr val="tx2">
            <a:lumMod val="25000"/>
            <a:lumOff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251461</xdr:colOff>
      <xdr:row>3</xdr:row>
      <xdr:rowOff>182881</xdr:rowOff>
    </xdr:from>
    <xdr:to>
      <xdr:col>13</xdr:col>
      <xdr:colOff>434341</xdr:colOff>
      <xdr:row>24</xdr:row>
      <xdr:rowOff>22861</xdr:rowOff>
    </xdr:to>
    <xdr:pic>
      <xdr:nvPicPr>
        <xdr:cNvPr id="6" name="workspace icon">
          <a:extLst>
            <a:ext uri="{FF2B5EF4-FFF2-40B4-BE49-F238E27FC236}">
              <a16:creationId xmlns:a16="http://schemas.microsoft.com/office/drawing/2014/main" id="{9E407549-504D-82FC-C888-9DA7339C90C0}"/>
            </a:ext>
          </a:extLst>
        </xdr:cNvPr>
        <xdr:cNvPicPr>
          <a:picLocks noChangeAspect="1"/>
        </xdr:cNvPicPr>
      </xdr:nvPicPr>
      <xdr:blipFill>
        <a:blip xmlns:r="http://schemas.openxmlformats.org/officeDocument/2006/relationships" r:embed="rId1">
          <a:alphaModFix amt="20000"/>
          <a:extLst>
            <a:ext uri="{28A0092B-C50C-407E-A947-70E740481C1C}">
              <a14:useLocalDpi xmlns:a14="http://schemas.microsoft.com/office/drawing/2010/main" val="0"/>
            </a:ext>
          </a:extLst>
        </a:blip>
        <a:stretch>
          <a:fillRect/>
        </a:stretch>
      </xdr:blipFill>
      <xdr:spPr>
        <a:xfrm>
          <a:off x="4518661" y="754381"/>
          <a:ext cx="3840480" cy="3840480"/>
        </a:xfrm>
        <a:prstGeom prst="rect">
          <a:avLst/>
        </a:prstGeom>
      </xdr:spPr>
    </xdr:pic>
    <xdr:clientData/>
  </xdr:twoCellAnchor>
  <xdr:twoCellAnchor editAs="absolute">
    <xdr:from>
      <xdr:col>0</xdr:col>
      <xdr:colOff>121920</xdr:colOff>
      <xdr:row>3</xdr:row>
      <xdr:rowOff>93345</xdr:rowOff>
    </xdr:from>
    <xdr:to>
      <xdr:col>2</xdr:col>
      <xdr:colOff>464820</xdr:colOff>
      <xdr:row>6</xdr:row>
      <xdr:rowOff>87630</xdr:rowOff>
    </xdr:to>
    <xdr:sp macro="[0]!btn_Equipment" textlink="">
      <xdr:nvSpPr>
        <xdr:cNvPr id="12" name="Rectangle: Rounded Corners 11" hidden="1">
          <a:extLst>
            <a:ext uri="{FF2B5EF4-FFF2-40B4-BE49-F238E27FC236}">
              <a16:creationId xmlns:a16="http://schemas.microsoft.com/office/drawing/2014/main" id="{3624FDE8-04C1-0213-F0E0-CD1950273813}"/>
            </a:ext>
          </a:extLst>
        </xdr:cNvPr>
        <xdr:cNvSpPr/>
      </xdr:nvSpPr>
      <xdr:spPr>
        <a:xfrm>
          <a:off x="121920" y="664845"/>
          <a:ext cx="1562100" cy="565785"/>
        </a:xfrm>
        <a:prstGeom prst="roundRect">
          <a:avLst/>
        </a:prstGeom>
        <a:solidFill>
          <a:schemeClr val="tx2">
            <a:lumMod val="10000"/>
            <a:lumOff val="90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az-Latn-AZ" sz="1050">
              <a:solidFill>
                <a:schemeClr val="tx2">
                  <a:lumMod val="75000"/>
                  <a:lumOff val="25000"/>
                </a:schemeClr>
              </a:solidFill>
              <a:latin typeface="Palatino Linotype" panose="02040502050505030304" pitchFamily="18" charset="0"/>
              <a:ea typeface="+mn-ea"/>
              <a:cs typeface="+mn-cs"/>
            </a:rPr>
            <a:t>Avadanlıq əlavə et</a:t>
          </a:r>
          <a:endParaRPr lang="en-US" sz="1050">
            <a:solidFill>
              <a:schemeClr val="tx2">
                <a:lumMod val="75000"/>
                <a:lumOff val="25000"/>
              </a:schemeClr>
            </a:solidFill>
            <a:latin typeface="Palatino Linotype" panose="02040502050505030304" pitchFamily="18" charset="0"/>
            <a:ea typeface="+mn-ea"/>
            <a:cs typeface="+mn-cs"/>
          </a:endParaRPr>
        </a:p>
      </xdr:txBody>
    </xdr:sp>
    <xdr:clientData/>
  </xdr:twoCellAnchor>
  <xdr:twoCellAnchor editAs="absolute">
    <xdr:from>
      <xdr:col>0</xdr:col>
      <xdr:colOff>121920</xdr:colOff>
      <xdr:row>7</xdr:row>
      <xdr:rowOff>78127</xdr:rowOff>
    </xdr:from>
    <xdr:to>
      <xdr:col>2</xdr:col>
      <xdr:colOff>464820</xdr:colOff>
      <xdr:row>10</xdr:row>
      <xdr:rowOff>45697</xdr:rowOff>
    </xdr:to>
    <xdr:sp macro="[0]!btn_SpareParts" textlink="">
      <xdr:nvSpPr>
        <xdr:cNvPr id="13" name="Rectangle: Rounded Corners 12" hidden="1">
          <a:extLst>
            <a:ext uri="{FF2B5EF4-FFF2-40B4-BE49-F238E27FC236}">
              <a16:creationId xmlns:a16="http://schemas.microsoft.com/office/drawing/2014/main" id="{364523C1-87A5-4CA1-BDE1-26E3C53C4B78}"/>
            </a:ext>
          </a:extLst>
        </xdr:cNvPr>
        <xdr:cNvSpPr/>
      </xdr:nvSpPr>
      <xdr:spPr>
        <a:xfrm>
          <a:off x="121920" y="1411627"/>
          <a:ext cx="1562100" cy="539070"/>
        </a:xfrm>
        <a:prstGeom prst="roundRect">
          <a:avLst/>
        </a:prstGeom>
        <a:solidFill>
          <a:schemeClr val="tx2">
            <a:lumMod val="10000"/>
            <a:lumOff val="90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az-Latn-AZ" sz="1050">
              <a:solidFill>
                <a:schemeClr val="tx2">
                  <a:lumMod val="75000"/>
                  <a:lumOff val="25000"/>
                </a:schemeClr>
              </a:solidFill>
              <a:latin typeface="Palatino Linotype" panose="02040502050505030304" pitchFamily="18" charset="0"/>
              <a:ea typeface="+mn-ea"/>
              <a:cs typeface="+mn-cs"/>
            </a:rPr>
            <a:t>Ehtiyat hissələri əlavə et</a:t>
          </a:r>
          <a:endParaRPr lang="en-US" sz="1050">
            <a:solidFill>
              <a:schemeClr val="tx2">
                <a:lumMod val="75000"/>
                <a:lumOff val="25000"/>
              </a:schemeClr>
            </a:solidFill>
            <a:latin typeface="Palatino Linotype" panose="02040502050505030304" pitchFamily="18" charset="0"/>
            <a:ea typeface="+mn-ea"/>
            <a:cs typeface="+mn-cs"/>
          </a:endParaRPr>
        </a:p>
      </xdr:txBody>
    </xdr:sp>
    <xdr:clientData/>
  </xdr:twoCellAnchor>
  <xdr:twoCellAnchor editAs="absolute">
    <xdr:from>
      <xdr:col>0</xdr:col>
      <xdr:colOff>127635</xdr:colOff>
      <xdr:row>11</xdr:row>
      <xdr:rowOff>36194</xdr:rowOff>
    </xdr:from>
    <xdr:to>
      <xdr:col>2</xdr:col>
      <xdr:colOff>470535</xdr:colOff>
      <xdr:row>14</xdr:row>
      <xdr:rowOff>34289</xdr:rowOff>
    </xdr:to>
    <xdr:sp macro="[0]!btn_Sales" textlink="">
      <xdr:nvSpPr>
        <xdr:cNvPr id="14" name="Rectangle: Rounded Corners 13" hidden="1">
          <a:extLst>
            <a:ext uri="{FF2B5EF4-FFF2-40B4-BE49-F238E27FC236}">
              <a16:creationId xmlns:a16="http://schemas.microsoft.com/office/drawing/2014/main" id="{B192BE70-CB60-4BE5-8BF9-74E288B0A35D}"/>
            </a:ext>
          </a:extLst>
        </xdr:cNvPr>
        <xdr:cNvSpPr/>
      </xdr:nvSpPr>
      <xdr:spPr>
        <a:xfrm>
          <a:off x="127635" y="2131694"/>
          <a:ext cx="1562100" cy="569595"/>
        </a:xfrm>
        <a:prstGeom prst="roundRect">
          <a:avLst/>
        </a:prstGeom>
        <a:solidFill>
          <a:schemeClr val="tx2">
            <a:lumMod val="10000"/>
            <a:lumOff val="90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az-Latn-AZ" sz="1050">
              <a:solidFill>
                <a:schemeClr val="tx2">
                  <a:lumMod val="75000"/>
                  <a:lumOff val="25000"/>
                </a:schemeClr>
              </a:solidFill>
              <a:latin typeface="Palatino Linotype" panose="02040502050505030304" pitchFamily="18" charset="0"/>
              <a:ea typeface="+mn-ea"/>
              <a:cs typeface="+mn-cs"/>
            </a:rPr>
            <a:t>Satış</a:t>
          </a:r>
          <a:endParaRPr lang="en-US" sz="1050">
            <a:solidFill>
              <a:schemeClr val="tx2">
                <a:lumMod val="75000"/>
                <a:lumOff val="25000"/>
              </a:schemeClr>
            </a:solidFill>
            <a:latin typeface="Palatino Linotype" panose="02040502050505030304" pitchFamily="18" charset="0"/>
            <a:ea typeface="+mn-ea"/>
            <a:cs typeface="+mn-cs"/>
          </a:endParaRPr>
        </a:p>
      </xdr:txBody>
    </xdr:sp>
    <xdr:clientData/>
  </xdr:twoCellAnchor>
  <xdr:twoCellAnchor editAs="absolute">
    <xdr:from>
      <xdr:col>0</xdr:col>
      <xdr:colOff>121920</xdr:colOff>
      <xdr:row>19</xdr:row>
      <xdr:rowOff>13380</xdr:rowOff>
    </xdr:from>
    <xdr:to>
      <xdr:col>2</xdr:col>
      <xdr:colOff>464820</xdr:colOff>
      <xdr:row>21</xdr:row>
      <xdr:rowOff>179070</xdr:rowOff>
    </xdr:to>
    <xdr:sp macro="[0]!clearWorkspace" textlink="">
      <xdr:nvSpPr>
        <xdr:cNvPr id="15" name="Rectangle: Rounded Corners 14" hidden="1">
          <a:extLst>
            <a:ext uri="{FF2B5EF4-FFF2-40B4-BE49-F238E27FC236}">
              <a16:creationId xmlns:a16="http://schemas.microsoft.com/office/drawing/2014/main" id="{A701350B-43AA-497B-9831-CE2A261A34E8}"/>
            </a:ext>
          </a:extLst>
        </xdr:cNvPr>
        <xdr:cNvSpPr/>
      </xdr:nvSpPr>
      <xdr:spPr>
        <a:xfrm>
          <a:off x="121920" y="3632880"/>
          <a:ext cx="1562100" cy="546690"/>
        </a:xfrm>
        <a:prstGeom prst="roundRect">
          <a:avLst/>
        </a:prstGeom>
        <a:solidFill>
          <a:schemeClr val="tx2">
            <a:lumMod val="10000"/>
            <a:lumOff val="90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az-Latn-AZ" sz="1050">
              <a:solidFill>
                <a:schemeClr val="tx2">
                  <a:lumMod val="75000"/>
                  <a:lumOff val="25000"/>
                </a:schemeClr>
              </a:solidFill>
              <a:latin typeface="Palatino Linotype" panose="02040502050505030304" pitchFamily="18" charset="0"/>
            </a:rPr>
            <a:t>Təmizlə</a:t>
          </a:r>
        </a:p>
      </xdr:txBody>
    </xdr:sp>
    <xdr:clientData/>
  </xdr:twoCellAnchor>
  <xdr:twoCellAnchor editAs="absolute">
    <xdr:from>
      <xdr:col>0</xdr:col>
      <xdr:colOff>121920</xdr:colOff>
      <xdr:row>15</xdr:row>
      <xdr:rowOff>24786</xdr:rowOff>
    </xdr:from>
    <xdr:to>
      <xdr:col>2</xdr:col>
      <xdr:colOff>464820</xdr:colOff>
      <xdr:row>18</xdr:row>
      <xdr:rowOff>22881</xdr:rowOff>
    </xdr:to>
    <xdr:sp macro="[0]!btn_Reporting" textlink="">
      <xdr:nvSpPr>
        <xdr:cNvPr id="3" name="Rectangle: Rounded Corners 2" hidden="1">
          <a:extLst>
            <a:ext uri="{FF2B5EF4-FFF2-40B4-BE49-F238E27FC236}">
              <a16:creationId xmlns:a16="http://schemas.microsoft.com/office/drawing/2014/main" id="{B8CE1476-E8A5-4B30-8368-AF145130EA36}"/>
            </a:ext>
          </a:extLst>
        </xdr:cNvPr>
        <xdr:cNvSpPr/>
      </xdr:nvSpPr>
      <xdr:spPr>
        <a:xfrm>
          <a:off x="121920" y="2882286"/>
          <a:ext cx="1562100" cy="569595"/>
        </a:xfrm>
        <a:prstGeom prst="roundRect">
          <a:avLst/>
        </a:prstGeom>
        <a:solidFill>
          <a:schemeClr val="tx2">
            <a:lumMod val="10000"/>
            <a:lumOff val="90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50">
              <a:solidFill>
                <a:schemeClr val="tx2">
                  <a:lumMod val="75000"/>
                  <a:lumOff val="25000"/>
                </a:schemeClr>
              </a:solidFill>
              <a:latin typeface="Palatino Linotype" panose="02040502050505030304" pitchFamily="18" charset="0"/>
              <a:ea typeface="+mn-ea"/>
              <a:cs typeface="+mn-cs"/>
            </a:rPr>
            <a:t>Hesabatl</a:t>
          </a:r>
          <a:r>
            <a:rPr lang="az-Latn-AZ" sz="1050">
              <a:solidFill>
                <a:schemeClr val="tx2">
                  <a:lumMod val="75000"/>
                  <a:lumOff val="25000"/>
                </a:schemeClr>
              </a:solidFill>
              <a:latin typeface="Palatino Linotype" panose="02040502050505030304" pitchFamily="18" charset="0"/>
              <a:ea typeface="+mn-ea"/>
              <a:cs typeface="+mn-cs"/>
            </a:rPr>
            <a:t>ılıq</a:t>
          </a:r>
          <a:r>
            <a:rPr lang="az-Latn-AZ" sz="1050" baseline="0">
              <a:solidFill>
                <a:schemeClr val="tx2">
                  <a:lumMod val="75000"/>
                  <a:lumOff val="25000"/>
                </a:schemeClr>
              </a:solidFill>
              <a:latin typeface="Palatino Linotype" panose="02040502050505030304" pitchFamily="18" charset="0"/>
              <a:ea typeface="+mn-ea"/>
              <a:cs typeface="+mn-cs"/>
            </a:rPr>
            <a:t> və Çıxarışlar</a:t>
          </a:r>
          <a:endParaRPr lang="en-US" sz="1050">
            <a:solidFill>
              <a:schemeClr val="tx2">
                <a:lumMod val="75000"/>
                <a:lumOff val="25000"/>
              </a:schemeClr>
            </a:solidFill>
            <a:latin typeface="Palatino Linotype" panose="02040502050505030304" pitchFamily="18" charset="0"/>
            <a:ea typeface="+mn-ea"/>
            <a:cs typeface="+mn-cs"/>
          </a:endParaRPr>
        </a:p>
      </xdr:txBody>
    </xdr:sp>
    <xdr:clientData/>
  </xdr:twoCellAnchor>
  <xdr:twoCellAnchor editAs="absolute">
    <xdr:from>
      <xdr:col>0</xdr:col>
      <xdr:colOff>129541</xdr:colOff>
      <xdr:row>0</xdr:row>
      <xdr:rowOff>53340</xdr:rowOff>
    </xdr:from>
    <xdr:to>
      <xdr:col>0</xdr:col>
      <xdr:colOff>472440</xdr:colOff>
      <xdr:row>1</xdr:row>
      <xdr:rowOff>84295</xdr:rowOff>
    </xdr:to>
    <xdr:pic macro="[0]!btn_makewide">
      <xdr:nvPicPr>
        <xdr:cNvPr id="7" name="Picture 6">
          <a:extLst>
            <a:ext uri="{FF2B5EF4-FFF2-40B4-BE49-F238E27FC236}">
              <a16:creationId xmlns:a16="http://schemas.microsoft.com/office/drawing/2014/main" id="{8D213565-35C5-5647-2B5C-07C27540A0E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541" y="53340"/>
          <a:ext cx="342899" cy="221455"/>
        </a:xfrm>
        <a:prstGeom prst="rect">
          <a:avLst/>
        </a:prstGeom>
      </xdr:spPr>
    </xdr:pic>
    <xdr:clientData/>
  </xdr:twoCellAnchor>
  <xdr:twoCellAnchor editAs="absolute">
    <xdr:from>
      <xdr:col>0</xdr:col>
      <xdr:colOff>106680</xdr:colOff>
      <xdr:row>3</xdr:row>
      <xdr:rowOff>182880</xdr:rowOff>
    </xdr:from>
    <xdr:to>
      <xdr:col>0</xdr:col>
      <xdr:colOff>502680</xdr:colOff>
      <xdr:row>6</xdr:row>
      <xdr:rowOff>7380</xdr:rowOff>
    </xdr:to>
    <xdr:pic macro="[0]!btn_Equipment">
      <xdr:nvPicPr>
        <xdr:cNvPr id="9" name="Picture 8">
          <a:extLst>
            <a:ext uri="{FF2B5EF4-FFF2-40B4-BE49-F238E27FC236}">
              <a16:creationId xmlns:a16="http://schemas.microsoft.com/office/drawing/2014/main" id="{589759E7-57AD-12C9-2992-621DB644E2A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6680" y="754380"/>
          <a:ext cx="396000" cy="396000"/>
        </a:xfrm>
        <a:prstGeom prst="rect">
          <a:avLst/>
        </a:prstGeom>
      </xdr:spPr>
    </xdr:pic>
    <xdr:clientData/>
  </xdr:twoCellAnchor>
  <xdr:twoCellAnchor editAs="absolute">
    <xdr:from>
      <xdr:col>0</xdr:col>
      <xdr:colOff>106680</xdr:colOff>
      <xdr:row>7</xdr:row>
      <xdr:rowOff>158320</xdr:rowOff>
    </xdr:from>
    <xdr:to>
      <xdr:col>0</xdr:col>
      <xdr:colOff>502680</xdr:colOff>
      <xdr:row>9</xdr:row>
      <xdr:rowOff>173320</xdr:rowOff>
    </xdr:to>
    <xdr:pic macro="[0]!btn_SpareParts">
      <xdr:nvPicPr>
        <xdr:cNvPr id="11" name="Picture 10">
          <a:extLst>
            <a:ext uri="{FF2B5EF4-FFF2-40B4-BE49-F238E27FC236}">
              <a16:creationId xmlns:a16="http://schemas.microsoft.com/office/drawing/2014/main" id="{752FE34F-791B-1883-3D9D-8AD45799339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6680" y="1491820"/>
          <a:ext cx="396000" cy="396000"/>
        </a:xfrm>
        <a:prstGeom prst="rect">
          <a:avLst/>
        </a:prstGeom>
      </xdr:spPr>
    </xdr:pic>
    <xdr:clientData/>
  </xdr:twoCellAnchor>
  <xdr:twoCellAnchor editAs="absolute">
    <xdr:from>
      <xdr:col>0</xdr:col>
      <xdr:colOff>106680</xdr:colOff>
      <xdr:row>11</xdr:row>
      <xdr:rowOff>133760</xdr:rowOff>
    </xdr:from>
    <xdr:to>
      <xdr:col>0</xdr:col>
      <xdr:colOff>502680</xdr:colOff>
      <xdr:row>13</xdr:row>
      <xdr:rowOff>148760</xdr:rowOff>
    </xdr:to>
    <xdr:pic macro="[0]!btn_Sales">
      <xdr:nvPicPr>
        <xdr:cNvPr id="17" name="Picture 16">
          <a:extLst>
            <a:ext uri="{FF2B5EF4-FFF2-40B4-BE49-F238E27FC236}">
              <a16:creationId xmlns:a16="http://schemas.microsoft.com/office/drawing/2014/main" id="{3C32E3A9-FC64-2CDA-756D-21DF5F7273E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6680" y="2229260"/>
          <a:ext cx="396000" cy="396000"/>
        </a:xfrm>
        <a:prstGeom prst="rect">
          <a:avLst/>
        </a:prstGeom>
      </xdr:spPr>
    </xdr:pic>
    <xdr:clientData/>
  </xdr:twoCellAnchor>
  <xdr:twoCellAnchor editAs="absolute">
    <xdr:from>
      <xdr:col>0</xdr:col>
      <xdr:colOff>106680</xdr:colOff>
      <xdr:row>15</xdr:row>
      <xdr:rowOff>109200</xdr:rowOff>
    </xdr:from>
    <xdr:to>
      <xdr:col>0</xdr:col>
      <xdr:colOff>502680</xdr:colOff>
      <xdr:row>17</xdr:row>
      <xdr:rowOff>138621</xdr:rowOff>
    </xdr:to>
    <xdr:pic macro="[0]!btn_Reporting">
      <xdr:nvPicPr>
        <xdr:cNvPr id="19" name="Picture 18">
          <a:extLst>
            <a:ext uri="{FF2B5EF4-FFF2-40B4-BE49-F238E27FC236}">
              <a16:creationId xmlns:a16="http://schemas.microsoft.com/office/drawing/2014/main" id="{2B878582-2C7A-FDD8-8B05-38C0BFC064D8}"/>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6680" y="2966700"/>
          <a:ext cx="396000" cy="410421"/>
        </a:xfrm>
        <a:prstGeom prst="rect">
          <a:avLst/>
        </a:prstGeom>
      </xdr:spPr>
    </xdr:pic>
    <xdr:clientData/>
  </xdr:twoCellAnchor>
  <xdr:twoCellAnchor editAs="absolute">
    <xdr:from>
      <xdr:col>0</xdr:col>
      <xdr:colOff>106680</xdr:colOff>
      <xdr:row>19</xdr:row>
      <xdr:rowOff>99060</xdr:rowOff>
    </xdr:from>
    <xdr:to>
      <xdr:col>0</xdr:col>
      <xdr:colOff>502680</xdr:colOff>
      <xdr:row>21</xdr:row>
      <xdr:rowOff>114060</xdr:rowOff>
    </xdr:to>
    <xdr:pic macro="[0]!clearWorkspace">
      <xdr:nvPicPr>
        <xdr:cNvPr id="21" name="Picture 20">
          <a:extLst>
            <a:ext uri="{FF2B5EF4-FFF2-40B4-BE49-F238E27FC236}">
              <a16:creationId xmlns:a16="http://schemas.microsoft.com/office/drawing/2014/main" id="{EB520ECE-BFB0-8D98-EC8C-ABB3755FC2B4}"/>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6680" y="3718560"/>
          <a:ext cx="396000" cy="396000"/>
        </a:xfrm>
        <a:prstGeom prst="rect">
          <a:avLst/>
        </a:prstGeom>
      </xdr:spPr>
    </xdr:pic>
    <xdr:clientData/>
  </xdr:twoCellAnchor>
  <xdr:twoCellAnchor editAs="absolute">
    <xdr:from>
      <xdr:col>2</xdr:col>
      <xdr:colOff>228600</xdr:colOff>
      <xdr:row>0</xdr:row>
      <xdr:rowOff>53340</xdr:rowOff>
    </xdr:from>
    <xdr:to>
      <xdr:col>2</xdr:col>
      <xdr:colOff>525780</xdr:colOff>
      <xdr:row>1</xdr:row>
      <xdr:rowOff>76200</xdr:rowOff>
    </xdr:to>
    <xdr:sp macro="[0]!btn_makesmall" textlink="">
      <xdr:nvSpPr>
        <xdr:cNvPr id="23" name="Arrow: Left 3" hidden="1">
          <a:extLst>
            <a:ext uri="{FF2B5EF4-FFF2-40B4-BE49-F238E27FC236}">
              <a16:creationId xmlns:a16="http://schemas.microsoft.com/office/drawing/2014/main" id="{466B8C28-A217-B3B8-25FA-6E6C007B3BEB}"/>
            </a:ext>
          </a:extLst>
        </xdr:cNvPr>
        <xdr:cNvSpPr/>
      </xdr:nvSpPr>
      <xdr:spPr>
        <a:xfrm>
          <a:off x="1447800" y="53340"/>
          <a:ext cx="297180" cy="213360"/>
        </a:xfrm>
        <a:prstGeom prst="leftArrow">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85513</xdr:colOff>
      <xdr:row>1</xdr:row>
      <xdr:rowOff>4234</xdr:rowOff>
    </xdr:from>
    <xdr:to>
      <xdr:col>3</xdr:col>
      <xdr:colOff>594360</xdr:colOff>
      <xdr:row>4</xdr:row>
      <xdr:rowOff>88054</xdr:rowOff>
    </xdr:to>
    <xdr:sp macro="" textlink="$A$1">
      <xdr:nvSpPr>
        <xdr:cNvPr id="9" name="Rectangle: Rounded Corners 8">
          <a:extLst>
            <a:ext uri="{FF2B5EF4-FFF2-40B4-BE49-F238E27FC236}">
              <a16:creationId xmlns:a16="http://schemas.microsoft.com/office/drawing/2014/main" id="{210C1EE1-865E-F221-CCDF-685FAE2973FF}"/>
            </a:ext>
          </a:extLst>
        </xdr:cNvPr>
        <xdr:cNvSpPr/>
      </xdr:nvSpPr>
      <xdr:spPr>
        <a:xfrm>
          <a:off x="525780" y="198967"/>
          <a:ext cx="1728047" cy="668020"/>
        </a:xfrm>
        <a:prstGeom prst="roundRect">
          <a:avLst/>
        </a:prstGeom>
        <a:solidFill>
          <a:schemeClr val="tx2">
            <a:lumMod val="50000"/>
            <a:lumOff val="50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az-Latn-AZ" sz="1000" b="1" i="0" u="none" strike="noStrike" baseline="0">
              <a:solidFill>
                <a:schemeClr val="bg1"/>
              </a:solidFill>
              <a:latin typeface="Palatino Linotype"/>
              <a:ea typeface="+mn-ea"/>
              <a:cs typeface="+mn-cs"/>
            </a:rPr>
            <a:t>Avadanlıq üzrə ümumi satış sayı: </a:t>
          </a:r>
          <a:fld id="{552A6762-25CA-495A-8C9C-4C2C8E95C54C}" type="TxLink">
            <a:rPr lang="en-US" sz="1000" b="1" i="0" u="none" strike="noStrike" baseline="0">
              <a:solidFill>
                <a:schemeClr val="bg1"/>
              </a:solidFill>
              <a:latin typeface="Palatino Linotype"/>
              <a:ea typeface="+mn-ea"/>
              <a:cs typeface="+mn-cs"/>
            </a:rPr>
            <a:pPr marL="0" indent="0" algn="ctr"/>
            <a:t>32</a:t>
          </a:fld>
          <a:endParaRPr lang="en-US" sz="1000" b="1" i="0" u="none" strike="noStrike" baseline="0">
            <a:solidFill>
              <a:schemeClr val="bg1"/>
            </a:solidFill>
            <a:latin typeface="Palatino Linotype"/>
            <a:ea typeface="+mn-ea"/>
            <a:cs typeface="+mn-cs"/>
          </a:endParaRPr>
        </a:p>
      </xdr:txBody>
    </xdr:sp>
    <xdr:clientData/>
  </xdr:twoCellAnchor>
  <xdr:twoCellAnchor editAs="absolute">
    <xdr:from>
      <xdr:col>1</xdr:col>
      <xdr:colOff>100753</xdr:colOff>
      <xdr:row>5</xdr:row>
      <xdr:rowOff>27094</xdr:rowOff>
    </xdr:from>
    <xdr:to>
      <xdr:col>4</xdr:col>
      <xdr:colOff>0</xdr:colOff>
      <xdr:row>8</xdr:row>
      <xdr:rowOff>110914</xdr:rowOff>
    </xdr:to>
    <xdr:sp macro="" textlink="$A$6">
      <xdr:nvSpPr>
        <xdr:cNvPr id="10" name="Rectangle: Rounded Corners 9">
          <a:extLst>
            <a:ext uri="{FF2B5EF4-FFF2-40B4-BE49-F238E27FC236}">
              <a16:creationId xmlns:a16="http://schemas.microsoft.com/office/drawing/2014/main" id="{B836C7FD-D3C9-4DA0-A2FD-BF0BC3BD3152}"/>
            </a:ext>
          </a:extLst>
        </xdr:cNvPr>
        <xdr:cNvSpPr/>
      </xdr:nvSpPr>
      <xdr:spPr>
        <a:xfrm>
          <a:off x="541020" y="1000761"/>
          <a:ext cx="1728047" cy="668020"/>
        </a:xfrm>
        <a:prstGeom prst="roundRect">
          <a:avLst/>
        </a:prstGeom>
        <a:solidFill>
          <a:schemeClr val="tx2">
            <a:lumMod val="50000"/>
            <a:lumOff val="50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az-Latn-AZ" sz="1000" b="1" i="0" u="none" strike="noStrike" baseline="0">
              <a:solidFill>
                <a:schemeClr val="bg1"/>
              </a:solidFill>
              <a:latin typeface="Palatino Linotype"/>
              <a:ea typeface="+mn-ea"/>
              <a:cs typeface="+mn-cs"/>
            </a:rPr>
            <a:t>Ehtiyyat hissələri üzrə ümumi satış sayı: </a:t>
          </a:r>
          <a:fld id="{89FD7111-CA3C-4F27-8810-3751ABE90FA4}" type="TxLink">
            <a:rPr lang="en-US" sz="1000" b="1" i="0" u="none" strike="noStrike" baseline="0">
              <a:solidFill>
                <a:schemeClr val="bg1"/>
              </a:solidFill>
              <a:latin typeface="Palatino Linotype"/>
              <a:ea typeface="+mn-ea"/>
              <a:cs typeface="+mn-cs"/>
            </a:rPr>
            <a:pPr marL="0" marR="0" lvl="0" indent="0" algn="ctr" defTabSz="914400" eaLnBrk="1" fontAlgn="auto" latinLnBrk="0" hangingPunct="1">
              <a:lnSpc>
                <a:spcPct val="100000"/>
              </a:lnSpc>
              <a:spcBef>
                <a:spcPts val="0"/>
              </a:spcBef>
              <a:spcAft>
                <a:spcPts val="0"/>
              </a:spcAft>
              <a:buClrTx/>
              <a:buSzTx/>
              <a:buFontTx/>
              <a:buNone/>
              <a:tabLst/>
              <a:defRPr/>
            </a:pPr>
            <a:t>30</a:t>
          </a:fld>
          <a:endParaRPr lang="en-US" sz="1000" b="1" i="0" u="none" strike="noStrike" baseline="0">
            <a:solidFill>
              <a:schemeClr val="bg1"/>
            </a:solidFill>
            <a:latin typeface="Palatino Linotype"/>
            <a:ea typeface="+mn-ea"/>
            <a:cs typeface="+mn-cs"/>
          </a:endParaRPr>
        </a:p>
      </xdr:txBody>
    </xdr:sp>
    <xdr:clientData/>
  </xdr:twoCellAnchor>
  <xdr:twoCellAnchor editAs="absolute">
    <xdr:from>
      <xdr:col>4</xdr:col>
      <xdr:colOff>282786</xdr:colOff>
      <xdr:row>0</xdr:row>
      <xdr:rowOff>155787</xdr:rowOff>
    </xdr:from>
    <xdr:to>
      <xdr:col>15</xdr:col>
      <xdr:colOff>567266</xdr:colOff>
      <xdr:row>7</xdr:row>
      <xdr:rowOff>0</xdr:rowOff>
    </xdr:to>
    <mc:AlternateContent xmlns:mc="http://schemas.openxmlformats.org/markup-compatibility/2006">
      <mc:Choice xmlns:tsle="http://schemas.microsoft.com/office/drawing/2012/timeslicer" Requires="tsle">
        <xdr:graphicFrame macro="">
          <xdr:nvGraphicFramePr>
            <xdr:cNvPr id="12" name="Sales Date">
              <a:extLst>
                <a:ext uri="{FF2B5EF4-FFF2-40B4-BE49-F238E27FC236}">
                  <a16:creationId xmlns:a16="http://schemas.microsoft.com/office/drawing/2014/main" id="{1F3FA31E-C49C-4B55-9BDF-CF9D5AD47539}"/>
                </a:ext>
              </a:extLst>
            </xdr:cNvPr>
            <xdr:cNvGraphicFramePr/>
          </xdr:nvGraphicFramePr>
          <xdr:xfrm>
            <a:off x="0" y="0"/>
            <a:ext cx="0" cy="0"/>
          </xdr:xfrm>
          <a:graphic>
            <a:graphicData uri="http://schemas.microsoft.com/office/drawing/2012/timeslicer">
              <tsle:timeslicer xmlns:tsle="http://schemas.microsoft.com/office/drawing/2012/timeslicer" name="Sales Date"/>
            </a:graphicData>
          </a:graphic>
        </xdr:graphicFrame>
      </mc:Choice>
      <mc:Fallback>
        <xdr:sp macro="" textlink="">
          <xdr:nvSpPr>
            <xdr:cNvPr id="0" name=""/>
            <xdr:cNvSpPr>
              <a:spLocks noTextEdit="1"/>
            </xdr:cNvSpPr>
          </xdr:nvSpPr>
          <xdr:spPr>
            <a:xfrm>
              <a:off x="2551853" y="155787"/>
              <a:ext cx="6990080" cy="119888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editAs="absolute">
    <xdr:from>
      <xdr:col>4</xdr:col>
      <xdr:colOff>266700</xdr:colOff>
      <xdr:row>7</xdr:row>
      <xdr:rowOff>142240</xdr:rowOff>
    </xdr:from>
    <xdr:to>
      <xdr:col>12</xdr:col>
      <xdr:colOff>397933</xdr:colOff>
      <xdr:row>22</xdr:row>
      <xdr:rowOff>67734</xdr:rowOff>
    </xdr:to>
    <xdr:graphicFrame macro="">
      <xdr:nvGraphicFramePr>
        <xdr:cNvPr id="14" name="Chart 13">
          <a:extLst>
            <a:ext uri="{FF2B5EF4-FFF2-40B4-BE49-F238E27FC236}">
              <a16:creationId xmlns:a16="http://schemas.microsoft.com/office/drawing/2014/main" id="{5F880DFE-4342-4564-86D0-36544F8FEE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93133</xdr:colOff>
      <xdr:row>10</xdr:row>
      <xdr:rowOff>65194</xdr:rowOff>
    </xdr:from>
    <xdr:to>
      <xdr:col>3</xdr:col>
      <xdr:colOff>601980</xdr:colOff>
      <xdr:row>13</xdr:row>
      <xdr:rowOff>149014</xdr:rowOff>
    </xdr:to>
    <xdr:sp macro="" textlink="$A$11">
      <xdr:nvSpPr>
        <xdr:cNvPr id="15" name="Rectangle: Rounded Corners 14">
          <a:extLst>
            <a:ext uri="{FF2B5EF4-FFF2-40B4-BE49-F238E27FC236}">
              <a16:creationId xmlns:a16="http://schemas.microsoft.com/office/drawing/2014/main" id="{62AD6818-DD2E-45AD-8C52-DF0846923876}"/>
            </a:ext>
          </a:extLst>
        </xdr:cNvPr>
        <xdr:cNvSpPr/>
      </xdr:nvSpPr>
      <xdr:spPr>
        <a:xfrm>
          <a:off x="533400" y="2012527"/>
          <a:ext cx="1728047" cy="668020"/>
        </a:xfrm>
        <a:prstGeom prst="roundRect">
          <a:avLst/>
        </a:prstGeom>
        <a:solidFill>
          <a:schemeClr val="tx2">
            <a:lumMod val="50000"/>
            <a:lumOff val="50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u="none" strike="noStrike" baseline="0">
              <a:solidFill>
                <a:schemeClr val="bg1"/>
              </a:solidFill>
              <a:latin typeface="Palatino Linotype"/>
              <a:ea typeface="+mn-ea"/>
              <a:cs typeface="+mn-cs"/>
            </a:rPr>
            <a:t>Avadanl</a:t>
          </a:r>
          <a:r>
            <a:rPr lang="az-Latn-AZ" sz="1000" b="1" i="0" u="none" strike="noStrike" baseline="0">
              <a:solidFill>
                <a:schemeClr val="bg1"/>
              </a:solidFill>
              <a:latin typeface="Palatino Linotype"/>
              <a:ea typeface="+mn-ea"/>
              <a:cs typeface="+mn-cs"/>
            </a:rPr>
            <a:t>ıq üzrə ümumi gəlir: </a:t>
          </a:r>
          <a:fld id="{BDA33971-BE9F-4145-8540-E61940F030E7}" type="TxLink">
            <a:rPr lang="en-US" sz="1000" b="1" i="0" u="none" strike="noStrike" baseline="0">
              <a:solidFill>
                <a:schemeClr val="bg1"/>
              </a:solidFill>
              <a:latin typeface="Palatino Linotype"/>
              <a:ea typeface="+mn-ea"/>
              <a:cs typeface="+mn-cs"/>
            </a:rPr>
            <a:pPr marL="0" marR="0" lvl="0" indent="0" algn="ctr" defTabSz="914400" eaLnBrk="1" fontAlgn="auto" latinLnBrk="0" hangingPunct="1">
              <a:lnSpc>
                <a:spcPct val="100000"/>
              </a:lnSpc>
              <a:spcBef>
                <a:spcPts val="0"/>
              </a:spcBef>
              <a:spcAft>
                <a:spcPts val="0"/>
              </a:spcAft>
              <a:buClrTx/>
              <a:buSzTx/>
              <a:buFontTx/>
              <a:buNone/>
              <a:tabLst/>
              <a:defRPr/>
            </a:pPr>
            <a:t>430,00</a:t>
          </a:fld>
          <a:endParaRPr lang="en-US" sz="1000" b="1" i="0" u="none" strike="noStrike" baseline="0">
            <a:solidFill>
              <a:schemeClr val="bg1"/>
            </a:solidFill>
            <a:latin typeface="Palatino Linotype"/>
            <a:ea typeface="+mn-ea"/>
            <a:cs typeface="+mn-cs"/>
          </a:endParaRPr>
        </a:p>
      </xdr:txBody>
    </xdr:sp>
    <xdr:clientData/>
  </xdr:twoCellAnchor>
  <xdr:twoCellAnchor editAs="absolute">
    <xdr:from>
      <xdr:col>1</xdr:col>
      <xdr:colOff>93133</xdr:colOff>
      <xdr:row>14</xdr:row>
      <xdr:rowOff>80434</xdr:rowOff>
    </xdr:from>
    <xdr:to>
      <xdr:col>3</xdr:col>
      <xdr:colOff>601980</xdr:colOff>
      <xdr:row>17</xdr:row>
      <xdr:rowOff>168487</xdr:rowOff>
    </xdr:to>
    <xdr:sp macro="" textlink="$A$16">
      <xdr:nvSpPr>
        <xdr:cNvPr id="16" name="Rectangle: Rounded Corners 15">
          <a:extLst>
            <a:ext uri="{FF2B5EF4-FFF2-40B4-BE49-F238E27FC236}">
              <a16:creationId xmlns:a16="http://schemas.microsoft.com/office/drawing/2014/main" id="{0C40CB56-F9BA-44F4-A042-E5AC27A4C54C}"/>
            </a:ext>
          </a:extLst>
        </xdr:cNvPr>
        <xdr:cNvSpPr/>
      </xdr:nvSpPr>
      <xdr:spPr>
        <a:xfrm>
          <a:off x="533400" y="2806701"/>
          <a:ext cx="1728047" cy="672253"/>
        </a:xfrm>
        <a:prstGeom prst="roundRect">
          <a:avLst/>
        </a:prstGeom>
        <a:solidFill>
          <a:schemeClr val="tx2">
            <a:lumMod val="50000"/>
            <a:lumOff val="50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az-Latn-AZ" sz="1000" b="1" i="0" u="none" strike="noStrike" baseline="0">
              <a:solidFill>
                <a:schemeClr val="bg1"/>
              </a:solidFill>
              <a:latin typeface="Palatino Linotype"/>
              <a:ea typeface="+mn-ea"/>
              <a:cs typeface="+mn-cs"/>
            </a:rPr>
            <a:t>Ehtiyyat hissələri üzrə ümumi gəlir: </a:t>
          </a:r>
          <a:fld id="{FA24A63E-B9F6-49EF-9AB3-DA7EB1CD8679}" type="TxLink">
            <a:rPr lang="en-US" sz="1000" b="1" i="0" u="none" strike="noStrike" baseline="0">
              <a:solidFill>
                <a:schemeClr val="bg1"/>
              </a:solidFill>
              <a:latin typeface="Palatino Linotype"/>
              <a:ea typeface="+mn-ea"/>
              <a:cs typeface="+mn-cs"/>
            </a:rPr>
            <a:pPr marL="0" marR="0" lvl="0" indent="0" algn="ctr" defTabSz="914400" eaLnBrk="1" fontAlgn="auto" latinLnBrk="0" hangingPunct="1">
              <a:lnSpc>
                <a:spcPct val="100000"/>
              </a:lnSpc>
              <a:spcBef>
                <a:spcPts val="0"/>
              </a:spcBef>
              <a:spcAft>
                <a:spcPts val="0"/>
              </a:spcAft>
              <a:buClrTx/>
              <a:buSzTx/>
              <a:buFontTx/>
              <a:buNone/>
              <a:tabLst/>
              <a:defRPr/>
            </a:pPr>
            <a:t>180,00</a:t>
          </a:fld>
          <a:endParaRPr lang="en-US" sz="1000" b="1" i="0" u="none" strike="noStrike" baseline="0">
            <a:solidFill>
              <a:schemeClr val="bg1"/>
            </a:solidFill>
            <a:latin typeface="Palatino Linotype"/>
            <a:ea typeface="+mn-ea"/>
            <a:cs typeface="+mn-cs"/>
          </a:endParaRPr>
        </a:p>
      </xdr:txBody>
    </xdr:sp>
    <xdr:clientData/>
  </xdr:twoCellAnchor>
  <xdr:twoCellAnchor editAs="absolute">
    <xdr:from>
      <xdr:col>1</xdr:col>
      <xdr:colOff>111063</xdr:colOff>
      <xdr:row>19</xdr:row>
      <xdr:rowOff>132429</xdr:rowOff>
    </xdr:from>
    <xdr:to>
      <xdr:col>4</xdr:col>
      <xdr:colOff>10310</xdr:colOff>
      <xdr:row>23</xdr:row>
      <xdr:rowOff>27991</xdr:rowOff>
    </xdr:to>
    <xdr:sp macro="" textlink="$A$21">
      <xdr:nvSpPr>
        <xdr:cNvPr id="17" name="Rectangle: Rounded Corners 16">
          <a:extLst>
            <a:ext uri="{FF2B5EF4-FFF2-40B4-BE49-F238E27FC236}">
              <a16:creationId xmlns:a16="http://schemas.microsoft.com/office/drawing/2014/main" id="{13E5EBEF-A64D-4E13-9B7D-B3835A50FCD7}"/>
            </a:ext>
          </a:extLst>
        </xdr:cNvPr>
        <xdr:cNvSpPr/>
      </xdr:nvSpPr>
      <xdr:spPr>
        <a:xfrm>
          <a:off x="551330" y="3832362"/>
          <a:ext cx="1728047" cy="674496"/>
        </a:xfrm>
        <a:prstGeom prst="roundRect">
          <a:avLst/>
        </a:prstGeom>
        <a:solidFill>
          <a:schemeClr val="tx2">
            <a:lumMod val="50000"/>
            <a:lumOff val="50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u="none" strike="noStrike" baseline="0">
              <a:solidFill>
                <a:schemeClr val="bg1"/>
              </a:solidFill>
              <a:latin typeface="Palatino Linotype"/>
              <a:ea typeface="+mn-ea"/>
              <a:cs typeface="+mn-cs"/>
            </a:rPr>
            <a:t>Avadanl</a:t>
          </a:r>
          <a:r>
            <a:rPr lang="az-Latn-AZ" sz="1000" b="1" i="0" u="none" strike="noStrike" baseline="0">
              <a:solidFill>
                <a:schemeClr val="bg1"/>
              </a:solidFill>
              <a:latin typeface="Palatino Linotype"/>
              <a:ea typeface="+mn-ea"/>
              <a:cs typeface="+mn-cs"/>
            </a:rPr>
            <a:t>ıq üzrə net qazanc: </a:t>
          </a:r>
          <a:fld id="{9C92BC1C-E00B-446B-817D-7F7AB65350B0}" type="TxLink">
            <a:rPr lang="en-US" sz="1000" b="1" i="0" u="none" strike="noStrike" baseline="0">
              <a:solidFill>
                <a:schemeClr val="bg1"/>
              </a:solidFill>
              <a:latin typeface="Palatino Linotype"/>
              <a:ea typeface="+mn-ea"/>
              <a:cs typeface="+mn-cs"/>
            </a:rPr>
            <a:pPr marL="0" marR="0" lvl="0" indent="0" algn="ctr" defTabSz="914400" eaLnBrk="1" fontAlgn="auto" latinLnBrk="0" hangingPunct="1">
              <a:lnSpc>
                <a:spcPct val="100000"/>
              </a:lnSpc>
              <a:spcBef>
                <a:spcPts val="0"/>
              </a:spcBef>
              <a:spcAft>
                <a:spcPts val="0"/>
              </a:spcAft>
              <a:buClrTx/>
              <a:buSzTx/>
              <a:buFontTx/>
              <a:buNone/>
              <a:tabLst/>
              <a:defRPr/>
            </a:pPr>
            <a:t>257,10</a:t>
          </a:fld>
          <a:endParaRPr lang="en-US" sz="1000" b="1" i="0" u="none" strike="noStrike" baseline="0">
            <a:solidFill>
              <a:schemeClr val="bg1"/>
            </a:solidFill>
            <a:latin typeface="Palatino Linotype"/>
            <a:ea typeface="+mn-ea"/>
            <a:cs typeface="+mn-cs"/>
          </a:endParaRPr>
        </a:p>
      </xdr:txBody>
    </xdr:sp>
    <xdr:clientData/>
  </xdr:twoCellAnchor>
  <xdr:twoCellAnchor editAs="absolute">
    <xdr:from>
      <xdr:col>12</xdr:col>
      <xdr:colOff>541867</xdr:colOff>
      <xdr:row>7</xdr:row>
      <xdr:rowOff>144930</xdr:rowOff>
    </xdr:from>
    <xdr:to>
      <xdr:col>22</xdr:col>
      <xdr:colOff>186267</xdr:colOff>
      <xdr:row>22</xdr:row>
      <xdr:rowOff>73211</xdr:rowOff>
    </xdr:to>
    <xdr:graphicFrame macro="">
      <xdr:nvGraphicFramePr>
        <xdr:cNvPr id="2" name="Chart 1">
          <a:extLst>
            <a:ext uri="{FF2B5EF4-FFF2-40B4-BE49-F238E27FC236}">
              <a16:creationId xmlns:a16="http://schemas.microsoft.com/office/drawing/2014/main" id="{3FAAEC23-CF17-4F72-9B0F-0D2193DF77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19</xdr:col>
      <xdr:colOff>135466</xdr:colOff>
      <xdr:row>0</xdr:row>
      <xdr:rowOff>143935</xdr:rowOff>
    </xdr:from>
    <xdr:to>
      <xdr:col>22</xdr:col>
      <xdr:colOff>135466</xdr:colOff>
      <xdr:row>7</xdr:row>
      <xdr:rowOff>8468</xdr:rowOff>
    </xdr:to>
    <mc:AlternateContent xmlns:mc="http://schemas.openxmlformats.org/markup-compatibility/2006">
      <mc:Choice xmlns:a14="http://schemas.microsoft.com/office/drawing/2010/main" Requires="a14">
        <xdr:graphicFrame macro="">
          <xdr:nvGraphicFramePr>
            <xdr:cNvPr id="4" name="Avadanlığın adı">
              <a:extLst>
                <a:ext uri="{FF2B5EF4-FFF2-40B4-BE49-F238E27FC236}">
                  <a16:creationId xmlns:a16="http://schemas.microsoft.com/office/drawing/2014/main" id="{055DA0D6-3C08-4B4B-A92C-AB6833E7928C}"/>
                </a:ext>
              </a:extLst>
            </xdr:cNvPr>
            <xdr:cNvGraphicFramePr/>
          </xdr:nvGraphicFramePr>
          <xdr:xfrm>
            <a:off x="0" y="0"/>
            <a:ext cx="0" cy="0"/>
          </xdr:xfrm>
          <a:graphic>
            <a:graphicData uri="http://schemas.microsoft.com/office/drawing/2010/slicer">
              <sle:slicer xmlns:sle="http://schemas.microsoft.com/office/drawing/2010/slicer" name="Avadanlığın adı"/>
            </a:graphicData>
          </a:graphic>
        </xdr:graphicFrame>
      </mc:Choice>
      <mc:Fallback>
        <xdr:sp macro="" textlink="">
          <xdr:nvSpPr>
            <xdr:cNvPr id="0" name=""/>
            <xdr:cNvSpPr>
              <a:spLocks noTextEdit="1"/>
            </xdr:cNvSpPr>
          </xdr:nvSpPr>
          <xdr:spPr>
            <a:xfrm>
              <a:off x="11548533" y="143935"/>
              <a:ext cx="1828800" cy="1219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22</xdr:col>
      <xdr:colOff>364065</xdr:colOff>
      <xdr:row>0</xdr:row>
      <xdr:rowOff>143935</xdr:rowOff>
    </xdr:from>
    <xdr:to>
      <xdr:col>25</xdr:col>
      <xdr:colOff>414865</xdr:colOff>
      <xdr:row>18</xdr:row>
      <xdr:rowOff>118533</xdr:rowOff>
    </xdr:to>
    <xdr:graphicFrame macro="">
      <xdr:nvGraphicFramePr>
        <xdr:cNvPr id="5" name="Chart 4">
          <a:extLst>
            <a:ext uri="{FF2B5EF4-FFF2-40B4-BE49-F238E27FC236}">
              <a16:creationId xmlns:a16="http://schemas.microsoft.com/office/drawing/2014/main" id="{3CF1835F-6D04-4B49-A356-052E606844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94129</xdr:colOff>
      <xdr:row>23</xdr:row>
      <xdr:rowOff>161813</xdr:rowOff>
    </xdr:from>
    <xdr:to>
      <xdr:col>3</xdr:col>
      <xdr:colOff>602976</xdr:colOff>
      <xdr:row>27</xdr:row>
      <xdr:rowOff>57376</xdr:rowOff>
    </xdr:to>
    <xdr:sp macro="" textlink="$A$25">
      <xdr:nvSpPr>
        <xdr:cNvPr id="3" name="Rectangle: Rounded Corners 2">
          <a:extLst>
            <a:ext uri="{FF2B5EF4-FFF2-40B4-BE49-F238E27FC236}">
              <a16:creationId xmlns:a16="http://schemas.microsoft.com/office/drawing/2014/main" id="{91949DD7-3F86-4E76-8C9F-23D22FE28369}"/>
            </a:ext>
          </a:extLst>
        </xdr:cNvPr>
        <xdr:cNvSpPr/>
      </xdr:nvSpPr>
      <xdr:spPr>
        <a:xfrm>
          <a:off x="534396" y="4640680"/>
          <a:ext cx="1728047" cy="674496"/>
        </a:xfrm>
        <a:prstGeom prst="roundRect">
          <a:avLst/>
        </a:prstGeom>
        <a:solidFill>
          <a:schemeClr val="tx2">
            <a:lumMod val="50000"/>
            <a:lumOff val="50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u="none" strike="noStrike" baseline="0">
              <a:solidFill>
                <a:schemeClr val="bg1"/>
              </a:solidFill>
              <a:latin typeface="Palatino Linotype"/>
              <a:ea typeface="+mn-ea"/>
              <a:cs typeface="+mn-cs"/>
            </a:rPr>
            <a:t>Ehtiyyat </a:t>
          </a:r>
          <a:r>
            <a:rPr lang="az-Latn-AZ" sz="1000" b="1" i="0" u="none" strike="noStrike" baseline="0">
              <a:solidFill>
                <a:schemeClr val="bg1"/>
              </a:solidFill>
              <a:latin typeface="Palatino Linotype"/>
              <a:ea typeface="+mn-ea"/>
              <a:cs typeface="+mn-cs"/>
            </a:rPr>
            <a:t>hissələri üzrə net qazanc: </a:t>
          </a:r>
          <a:fld id="{2B645131-5121-4B72-81D9-CF871AB46A4F}" type="TxLink">
            <a:rPr lang="en-US" sz="1000" b="1" i="0" u="none" strike="noStrike" baseline="0">
              <a:solidFill>
                <a:schemeClr val="bg1"/>
              </a:solidFill>
              <a:latin typeface="Palatino Linotype"/>
              <a:ea typeface="+mn-ea"/>
              <a:cs typeface="+mn-cs"/>
            </a:rPr>
            <a:pPr marL="0" marR="0" lvl="0" indent="0" algn="ctr" defTabSz="914400" eaLnBrk="1" fontAlgn="auto" latinLnBrk="0" hangingPunct="1">
              <a:lnSpc>
                <a:spcPct val="100000"/>
              </a:lnSpc>
              <a:spcBef>
                <a:spcPts val="0"/>
              </a:spcBef>
              <a:spcAft>
                <a:spcPts val="0"/>
              </a:spcAft>
              <a:buClrTx/>
              <a:buSzTx/>
              <a:buFontTx/>
              <a:buNone/>
              <a:tabLst/>
              <a:defRPr/>
            </a:pPr>
            <a:t>105,00</a:t>
          </a:fld>
          <a:endParaRPr lang="en-US" sz="1000" b="1" i="0" u="none" strike="noStrike" baseline="0">
            <a:solidFill>
              <a:schemeClr val="bg1"/>
            </a:solidFill>
            <a:latin typeface="Palatino Linotype"/>
            <a:ea typeface="+mn-ea"/>
            <a:cs typeface="+mn-cs"/>
          </a:endParaRPr>
        </a:p>
      </xdr:txBody>
    </xdr:sp>
    <xdr:clientData/>
  </xdr:twoCellAnchor>
  <xdr:twoCellAnchor editAs="absolute">
    <xdr:from>
      <xdr:col>16</xdr:col>
      <xdr:colOff>50800</xdr:colOff>
      <xdr:row>0</xdr:row>
      <xdr:rowOff>143934</xdr:rowOff>
    </xdr:from>
    <xdr:to>
      <xdr:col>19</xdr:col>
      <xdr:colOff>50800</xdr:colOff>
      <xdr:row>7</xdr:row>
      <xdr:rowOff>16933</xdr:rowOff>
    </xdr:to>
    <mc:AlternateContent xmlns:mc="http://schemas.openxmlformats.org/markup-compatibility/2006">
      <mc:Choice xmlns:a14="http://schemas.microsoft.com/office/drawing/2010/main" Requires="a14">
        <xdr:graphicFrame macro="">
          <xdr:nvGraphicFramePr>
            <xdr:cNvPr id="6" name="Ehtiyyat hissələrinin adı">
              <a:extLst>
                <a:ext uri="{FF2B5EF4-FFF2-40B4-BE49-F238E27FC236}">
                  <a16:creationId xmlns:a16="http://schemas.microsoft.com/office/drawing/2014/main" id="{3D4C5A6B-6A42-4164-987F-B44D6A62077F}"/>
                </a:ext>
              </a:extLst>
            </xdr:cNvPr>
            <xdr:cNvGraphicFramePr/>
          </xdr:nvGraphicFramePr>
          <xdr:xfrm>
            <a:off x="0" y="0"/>
            <a:ext cx="0" cy="0"/>
          </xdr:xfrm>
          <a:graphic>
            <a:graphicData uri="http://schemas.microsoft.com/office/drawing/2010/slicer">
              <sle:slicer xmlns:sle="http://schemas.microsoft.com/office/drawing/2010/slicer" name="Ehtiyyat hissələrinin adı"/>
            </a:graphicData>
          </a:graphic>
        </xdr:graphicFrame>
      </mc:Choice>
      <mc:Fallback>
        <xdr:sp macro="" textlink="">
          <xdr:nvSpPr>
            <xdr:cNvPr id="0" name=""/>
            <xdr:cNvSpPr>
              <a:spLocks noTextEdit="1"/>
            </xdr:cNvSpPr>
          </xdr:nvSpPr>
          <xdr:spPr>
            <a:xfrm>
              <a:off x="9635067" y="143934"/>
              <a:ext cx="1828800" cy="12276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22</xdr:col>
      <xdr:colOff>380997</xdr:colOff>
      <xdr:row>19</xdr:row>
      <xdr:rowOff>50802</xdr:rowOff>
    </xdr:from>
    <xdr:to>
      <xdr:col>25</xdr:col>
      <xdr:colOff>457198</xdr:colOff>
      <xdr:row>37</xdr:row>
      <xdr:rowOff>50802</xdr:rowOff>
    </xdr:to>
    <xdr:graphicFrame macro="">
      <xdr:nvGraphicFramePr>
        <xdr:cNvPr id="7" name="Chart 6">
          <a:extLst>
            <a:ext uri="{FF2B5EF4-FFF2-40B4-BE49-F238E27FC236}">
              <a16:creationId xmlns:a16="http://schemas.microsoft.com/office/drawing/2014/main" id="{E2F69FFD-D41E-4A24-9FD1-BD527D26EB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4</xdr:col>
      <xdr:colOff>296334</xdr:colOff>
      <xdr:row>23</xdr:row>
      <xdr:rowOff>8467</xdr:rowOff>
    </xdr:from>
    <xdr:to>
      <xdr:col>22</xdr:col>
      <xdr:colOff>160866</xdr:colOff>
      <xdr:row>37</xdr:row>
      <xdr:rowOff>110067</xdr:rowOff>
    </xdr:to>
    <xdr:graphicFrame macro="">
      <xdr:nvGraphicFramePr>
        <xdr:cNvPr id="8" name="Chart 7">
          <a:extLst>
            <a:ext uri="{FF2B5EF4-FFF2-40B4-BE49-F238E27FC236}">
              <a16:creationId xmlns:a16="http://schemas.microsoft.com/office/drawing/2014/main" id="{277AFC4B-F954-4D89-8878-45F302AFC9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0</xdr:col>
      <xdr:colOff>372533</xdr:colOff>
      <xdr:row>27</xdr:row>
      <xdr:rowOff>186267</xdr:rowOff>
    </xdr:from>
    <xdr:to>
      <xdr:col>4</xdr:col>
      <xdr:colOff>211665</xdr:colOff>
      <xdr:row>37</xdr:row>
      <xdr:rowOff>101601</xdr:rowOff>
    </xdr:to>
    <xdr:graphicFrame macro="">
      <xdr:nvGraphicFramePr>
        <xdr:cNvPr id="11" name="Chart 10">
          <a:extLst>
            <a:ext uri="{FF2B5EF4-FFF2-40B4-BE49-F238E27FC236}">
              <a16:creationId xmlns:a16="http://schemas.microsoft.com/office/drawing/2014/main" id="{7E7071B7-7841-43AC-8993-184BFAA6A1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0</xdr:col>
      <xdr:colOff>0</xdr:colOff>
      <xdr:row>2</xdr:row>
      <xdr:rowOff>135466</xdr:rowOff>
    </xdr:from>
    <xdr:to>
      <xdr:col>1</xdr:col>
      <xdr:colOff>16933</xdr:colOff>
      <xdr:row>5</xdr:row>
      <xdr:rowOff>8466</xdr:rowOff>
    </xdr:to>
    <xdr:pic macro="[0]!btn_RefreshDashboard">
      <xdr:nvPicPr>
        <xdr:cNvPr id="20" name="Graphic 19" descr="Repeat with solid fill">
          <a:extLst>
            <a:ext uri="{FF2B5EF4-FFF2-40B4-BE49-F238E27FC236}">
              <a16:creationId xmlns:a16="http://schemas.microsoft.com/office/drawing/2014/main" id="{BC1B01C1-B0C7-7432-273A-EB8D6CA24D2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524933"/>
          <a:ext cx="457200" cy="457200"/>
        </a:xfrm>
        <a:prstGeom prst="rect">
          <a:avLst/>
        </a:prstGeom>
      </xdr:spPr>
    </xdr:pic>
    <xdr:clientData/>
  </xdr:twoCellAnchor>
  <xdr:twoCellAnchor editAs="absolute">
    <xdr:from>
      <xdr:col>0</xdr:col>
      <xdr:colOff>0</xdr:colOff>
      <xdr:row>0</xdr:row>
      <xdr:rowOff>0</xdr:rowOff>
    </xdr:from>
    <xdr:to>
      <xdr:col>1</xdr:col>
      <xdr:colOff>25400</xdr:colOff>
      <xdr:row>2</xdr:row>
      <xdr:rowOff>76200</xdr:rowOff>
    </xdr:to>
    <xdr:pic macro="[0]!btn_ToHome">
      <xdr:nvPicPr>
        <xdr:cNvPr id="22" name="Graphic 21" descr="Back with solid fill">
          <a:extLst>
            <a:ext uri="{FF2B5EF4-FFF2-40B4-BE49-F238E27FC236}">
              <a16:creationId xmlns:a16="http://schemas.microsoft.com/office/drawing/2014/main" id="{F386BC18-CD84-689D-4F00-E423EEF29824}"/>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0" y="0"/>
          <a:ext cx="465667" cy="465667"/>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nan Gambarov" refreshedDate="45488.026149421297" backgroundQuery="1" createdVersion="8" refreshedVersion="8" minRefreshableVersion="3" recordCount="0" supportSubquery="1" supportAdvancedDrill="1" xr:uid="{9DCE6F2B-6DAB-4D60-9319-D406D55F2A9A}">
  <cacheSource type="external" connectionId="8"/>
  <cacheFields count="3">
    <cacheField name="[Sales Calendar].[Month Name].[Month Name]" caption="Month Name" numFmtId="0" hierarchy="3" level="1">
      <sharedItems count="3">
        <s v="Avqust"/>
        <s v="İyul"/>
        <s v="İyun"/>
      </sharedItems>
    </cacheField>
    <cacheField name="[SalesSpareParts 1].[Ehtiyyat hissələrinin adı].[Ehtiyyat hissələrinin adı]" caption="Ehtiyyat hissələrinin adı" numFmtId="0" hierarchy="33" level="1">
      <sharedItems count="2">
        <s v="Yeni ehtiyyat hissesi 1"/>
        <s v="Yeni ehtiyyat hissesi 4"/>
      </sharedItems>
    </cacheField>
    <cacheField name="[Measures].[Sum of Quantity 3]" caption="Sum of Quantity 3" numFmtId="0" hierarchy="36" level="32767"/>
  </cacheFields>
  <cacheHierarchies count="50">
    <cacheHierarchy uniqueName="[Sales Calendar].[Sales Date]" caption="Sales Date" attribute="1" time="1" defaultMemberUniqueName="[Sales Calendar].[Sales Date].[All]" allUniqueName="[Sales Calendar].[Sales Date].[All]" dimensionUniqueName="[Sales Calendar]" displayFolder="" count="2" memberValueDatatype="7" unbalanced="0"/>
    <cacheHierarchy uniqueName="[Sales Calendar].[Year]" caption="Year" attribute="1" defaultMemberUniqueName="[Sales Calendar].[Year].[All]" allUniqueName="[Sales Calendar].[Year].[All]" dimensionUniqueName="[Sales Calendar]" displayFolder="" count="0" memberValueDatatype="20" unbalanced="0"/>
    <cacheHierarchy uniqueName="[Sales Calendar].[Month]" caption="Month" attribute="1" defaultMemberUniqueName="[Sales Calendar].[Month].[All]" allUniqueName="[Sales Calendar].[Month].[All]" dimensionUniqueName="[Sales Calendar]" displayFolder="" count="0" memberValueDatatype="20" unbalanced="0"/>
    <cacheHierarchy uniqueName="[Sales Calendar].[Month Name]" caption="Month Name" attribute="1" defaultMemberUniqueName="[Sales Calendar].[Month Name].[All]" allUniqueName="[Sales Calendar].[Month Name].[All]" dimensionUniqueName="[Sales Calendar]" displayFolder="" count="2" memberValueDatatype="130" unbalanced="0">
      <fieldsUsage count="2">
        <fieldUsage x="-1"/>
        <fieldUsage x="0"/>
      </fieldsUsage>
    </cacheHierarchy>
    <cacheHierarchy uniqueName="[SalesEquipment].[Sales ID]" caption="Sales ID" attribute="1" defaultMemberUniqueName="[SalesEquipment].[Sales ID].[All]" allUniqueName="[SalesEquipment].[Sales ID].[All]" dimensionUniqueName="[SalesEquipment]" displayFolder="" count="0" memberValueDatatype="130" unbalanced="0"/>
    <cacheHierarchy uniqueName="[SalesEquipment].[Sales Date]" caption="Sales Date" attribute="1" time="1" defaultMemberUniqueName="[SalesEquipment].[Sales Date].[All]" allUniqueName="[SalesEquipment].[Sales Date].[All]" dimensionUniqueName="[SalesEquipment]" displayFolder="" count="0" memberValueDatatype="7" unbalanced="0"/>
    <cacheHierarchy uniqueName="[SalesEquipment].[Equipment ID]" caption="Equipment ID" attribute="1" defaultMemberUniqueName="[SalesEquipment].[Equipment ID].[All]" allUniqueName="[SalesEquipment].[Equipment ID].[All]" dimensionUniqueName="[SalesEquipment]" displayFolder="" count="0" memberValueDatatype="130" unbalanced="0"/>
    <cacheHierarchy uniqueName="[SalesEquipment].[Customer ID]" caption="Customer ID" attribute="1" defaultMemberUniqueName="[SalesEquipment].[Customer ID].[All]" allUniqueName="[SalesEquipment].[Customer ID].[All]" dimensionUniqueName="[SalesEquipment]" displayFolder="" count="0" memberValueDatatype="130" unbalanced="0"/>
    <cacheHierarchy uniqueName="[SalesEquipment].[Sales Price]" caption="Sales Price" attribute="1" defaultMemberUniqueName="[SalesEquipment].[Sales Price].[All]" allUniqueName="[SalesEquipment].[Sales Price].[All]" dimensionUniqueName="[SalesEquipment]" displayFolder="" count="0" memberValueDatatype="20" unbalanced="0"/>
    <cacheHierarchy uniqueName="[SalesEquipment].[Quantity]" caption="Quantity" attribute="1" defaultMemberUniqueName="[SalesEquipment].[Quantity].[All]" allUniqueName="[SalesEquipment].[Quantity].[All]" dimensionUniqueName="[SalesEquipment]" displayFolder="" count="0" memberValueDatatype="20" unbalanced="0"/>
    <cacheHierarchy uniqueName="[SalesEquipment].[Last Date of Use]" caption="Last Date of Use" attribute="1" time="1" defaultMemberUniqueName="[SalesEquipment].[Last Date of Use].[All]" allUniqueName="[SalesEquipment].[Last Date of Use].[All]" dimensionUniqueName="[SalesEquipment]" displayFolder="" count="0" memberValueDatatype="7" unbalanced="0"/>
    <cacheHierarchy uniqueName="[SalesEquipment 1].[Sales ID]" caption="Sales ID" attribute="1" defaultMemberUniqueName="[SalesEquipment 1].[Sales ID].[All]" allUniqueName="[SalesEquipment 1].[Sales ID].[All]" dimensionUniqueName="[SalesEquipment 1]" displayFolder="" count="0" memberValueDatatype="130" unbalanced="0"/>
    <cacheHierarchy uniqueName="[SalesEquipment 1].[Sales Date]" caption="Sales Date" attribute="1" time="1" defaultMemberUniqueName="[SalesEquipment 1].[Sales Date].[All]" allUniqueName="[SalesEquipment 1].[Sales Date].[All]" dimensionUniqueName="[SalesEquipment 1]" displayFolder="" count="0" memberValueDatatype="7" unbalanced="0"/>
    <cacheHierarchy uniqueName="[SalesEquipment 1].[Equipment ID]" caption="Equipment ID" attribute="1" defaultMemberUniqueName="[SalesEquipment 1].[Equipment ID].[All]" allUniqueName="[SalesEquipment 1].[Equipment ID].[All]" dimensionUniqueName="[SalesEquipment 1]" displayFolder="" count="0" memberValueDatatype="130" unbalanced="0"/>
    <cacheHierarchy uniqueName="[SalesEquipment 1].[Customer ID]" caption="Customer ID" attribute="1" defaultMemberUniqueName="[SalesEquipment 1].[Customer ID].[All]" allUniqueName="[SalesEquipment 1].[Customer ID].[All]" dimensionUniqueName="[SalesEquipment 1]" displayFolder="" count="0" memberValueDatatype="130" unbalanced="0"/>
    <cacheHierarchy uniqueName="[SalesEquipment 1].[Sales Price]" caption="Sales Price" attribute="1" defaultMemberUniqueName="[SalesEquipment 1].[Sales Price].[All]" allUniqueName="[SalesEquipment 1].[Sales Price].[All]" dimensionUniqueName="[SalesEquipment 1]" displayFolder="" count="0" memberValueDatatype="20" unbalanced="0"/>
    <cacheHierarchy uniqueName="[SalesEquipment 1].[Quantity]" caption="Quantity" attribute="1" defaultMemberUniqueName="[SalesEquipment 1].[Quantity].[All]" allUniqueName="[SalesEquipment 1].[Quantity].[All]" dimensionUniqueName="[SalesEquipment 1]" displayFolder="" count="0" memberValueDatatype="20" unbalanced="0"/>
    <cacheHierarchy uniqueName="[SalesEquipment 1].[Last Date of Use]" caption="Last Date of Use" attribute="1" time="1" defaultMemberUniqueName="[SalesEquipment 1].[Last Date of Use].[All]" allUniqueName="[SalesEquipment 1].[Last Date of Use].[All]" dimensionUniqueName="[SalesEquipment 1]" displayFolder="" count="0" memberValueDatatype="7" unbalanced="0"/>
    <cacheHierarchy uniqueName="[SalesEquipment 1].[Alış dəyəri]" caption="Alış dəyəri" attribute="1" defaultMemberUniqueName="[SalesEquipment 1].[Alış dəyəri].[All]" allUniqueName="[SalesEquipment 1].[Alış dəyəri].[All]" dimensionUniqueName="[SalesEquipment 1]" displayFolder="" count="0" memberValueDatatype="5" unbalanced="0"/>
    <cacheHierarchy uniqueName="[SalesEquipment 1].[Avadanlığın adı]" caption="Avadanlığın adı" attribute="1" defaultMemberUniqueName="[SalesEquipment 1].[Avadanlığın adı].[All]" allUniqueName="[SalesEquipment 1].[Avadanlığın adı].[All]" dimensionUniqueName="[SalesEquipment 1]" displayFolder="" count="2" memberValueDatatype="130" unbalanced="0"/>
    <cacheHierarchy uniqueName="[SalesSpareParts].[Sales ID]" caption="Sales ID" attribute="1" defaultMemberUniqueName="[SalesSpareParts].[Sales ID].[All]" allUniqueName="[SalesSpareParts].[Sales ID].[All]" dimensionUniqueName="[SalesSpareParts]" displayFolder="" count="0" memberValueDatatype="130" unbalanced="0"/>
    <cacheHierarchy uniqueName="[SalesSpareParts].[Sales Date]" caption="Sales Date" attribute="1" time="1" defaultMemberUniqueName="[SalesSpareParts].[Sales Date].[All]" allUniqueName="[SalesSpareParts].[Sales Date].[All]" dimensionUniqueName="[SalesSpareParts]" displayFolder="" count="0" memberValueDatatype="7" unbalanced="0"/>
    <cacheHierarchy uniqueName="[SalesSpareParts].[Spare Part ID]" caption="Spare Part ID" attribute="1" defaultMemberUniqueName="[SalesSpareParts].[Spare Part ID].[All]" allUniqueName="[SalesSpareParts].[Spare Part ID].[All]" dimensionUniqueName="[SalesSpareParts]" displayFolder="" count="0" memberValueDatatype="130" unbalanced="0"/>
    <cacheHierarchy uniqueName="[SalesSpareParts].[Customer ID]" caption="Customer ID" attribute="1" defaultMemberUniqueName="[SalesSpareParts].[Customer ID].[All]" allUniqueName="[SalesSpareParts].[Customer ID].[All]" dimensionUniqueName="[SalesSpareParts]" displayFolder="" count="0" memberValueDatatype="130" unbalanced="0"/>
    <cacheHierarchy uniqueName="[SalesSpareParts].[Quantity]" caption="Quantity" attribute="1" defaultMemberUniqueName="[SalesSpareParts].[Quantity].[All]" allUniqueName="[SalesSpareParts].[Quantity].[All]" dimensionUniqueName="[SalesSpareParts]" displayFolder="" count="0" memberValueDatatype="20" unbalanced="0"/>
    <cacheHierarchy uniqueName="[SalesSpareParts].[Sales Price]" caption="Sales Price" attribute="1" defaultMemberUniqueName="[SalesSpareParts].[Sales Price].[All]" allUniqueName="[SalesSpareParts].[Sales Price].[All]" dimensionUniqueName="[SalesSpareParts]" displayFolder="" count="0" memberValueDatatype="20" unbalanced="0"/>
    <cacheHierarchy uniqueName="[SalesSpareParts 1].[Sales ID]" caption="Sales ID" attribute="1" defaultMemberUniqueName="[SalesSpareParts 1].[Sales ID].[All]" allUniqueName="[SalesSpareParts 1].[Sales ID].[All]" dimensionUniqueName="[SalesSpareParts 1]" displayFolder="" count="0" memberValueDatatype="130" unbalanced="0"/>
    <cacheHierarchy uniqueName="[SalesSpareParts 1].[Sales Date]" caption="Sales Date" attribute="1" time="1" defaultMemberUniqueName="[SalesSpareParts 1].[Sales Date].[All]" allUniqueName="[SalesSpareParts 1].[Sales Date].[All]" dimensionUniqueName="[SalesSpareParts 1]" displayFolder="" count="0" memberValueDatatype="7" unbalanced="0"/>
    <cacheHierarchy uniqueName="[SalesSpareParts 1].[Spare Part ID]" caption="Spare Part ID" attribute="1" defaultMemberUniqueName="[SalesSpareParts 1].[Spare Part ID].[All]" allUniqueName="[SalesSpareParts 1].[Spare Part ID].[All]" dimensionUniqueName="[SalesSpareParts 1]" displayFolder="" count="0" memberValueDatatype="130" unbalanced="0"/>
    <cacheHierarchy uniqueName="[SalesSpareParts 1].[Customer ID]" caption="Customer ID" attribute="1" defaultMemberUniqueName="[SalesSpareParts 1].[Customer ID].[All]" allUniqueName="[SalesSpareParts 1].[Customer ID].[All]" dimensionUniqueName="[SalesSpareParts 1]" displayFolder="" count="0" memberValueDatatype="130" unbalanced="0"/>
    <cacheHierarchy uniqueName="[SalesSpareParts 1].[Quantity]" caption="Quantity" attribute="1" defaultMemberUniqueName="[SalesSpareParts 1].[Quantity].[All]" allUniqueName="[SalesSpareParts 1].[Quantity].[All]" dimensionUniqueName="[SalesSpareParts 1]" displayFolder="" count="0" memberValueDatatype="20" unbalanced="0"/>
    <cacheHierarchy uniqueName="[SalesSpareParts 1].[Sales Price]" caption="Sales Price" attribute="1" defaultMemberUniqueName="[SalesSpareParts 1].[Sales Price].[All]" allUniqueName="[SalesSpareParts 1].[Sales Price].[All]" dimensionUniqueName="[SalesSpareParts 1]" displayFolder="" count="0" memberValueDatatype="20" unbalanced="0"/>
    <cacheHierarchy uniqueName="[SalesSpareParts 1].[Alış dəyəri]" caption="Alış dəyəri" attribute="1" defaultMemberUniqueName="[SalesSpareParts 1].[Alış dəyəri].[All]" allUniqueName="[SalesSpareParts 1].[Alış dəyəri].[All]" dimensionUniqueName="[SalesSpareParts 1]" displayFolder="" count="0" memberValueDatatype="5" unbalanced="0"/>
    <cacheHierarchy uniqueName="[SalesSpareParts 1].[Ehtiyyat hissələrinin adı]" caption="Ehtiyyat hissələrinin adı" attribute="1" defaultMemberUniqueName="[SalesSpareParts 1].[Ehtiyyat hissələrinin adı].[All]" allUniqueName="[SalesSpareParts 1].[Ehtiyyat hissələrinin adı].[All]" dimensionUniqueName="[SalesSpareParts 1]" displayFolder="" count="2" memberValueDatatype="130" unbalanced="0">
      <fieldsUsage count="2">
        <fieldUsage x="-1"/>
        <fieldUsage x="1"/>
      </fieldsUsage>
    </cacheHierarchy>
    <cacheHierarchy uniqueName="[Measures].[Sum of Quantity]" caption="Sum of Quantity" measure="1" displayFolder="" measureGroup="SalesEquipment" count="0">
      <extLst>
        <ext xmlns:x15="http://schemas.microsoft.com/office/spreadsheetml/2010/11/main" uri="{B97F6D7D-B522-45F9-BDA1-12C45D357490}">
          <x15:cacheHierarchy aggregatedColumn="9"/>
        </ext>
      </extLst>
    </cacheHierarchy>
    <cacheHierarchy uniqueName="[Measures].[Sum of Quantity 2]" caption="Sum of Quantity 2" measure="1" displayFolder="" measureGroup="SalesEquipment 1" count="0">
      <extLst>
        <ext xmlns:x15="http://schemas.microsoft.com/office/spreadsheetml/2010/11/main" uri="{B97F6D7D-B522-45F9-BDA1-12C45D357490}">
          <x15:cacheHierarchy aggregatedColumn="16"/>
        </ext>
      </extLst>
    </cacheHierarchy>
    <cacheHierarchy uniqueName="[Measures].[Sum of Quantity 3]" caption="Sum of Quantity 3" measure="1" displayFolder="" measureGroup="SalesSpareParts 1" count="0" oneField="1">
      <fieldsUsage count="1">
        <fieldUsage x="2"/>
      </fieldsUsage>
      <extLst>
        <ext xmlns:x15="http://schemas.microsoft.com/office/spreadsheetml/2010/11/main" uri="{B97F6D7D-B522-45F9-BDA1-12C45D357490}">
          <x15:cacheHierarchy aggregatedColumn="30"/>
        </ext>
      </extLst>
    </cacheHierarchy>
    <cacheHierarchy uniqueName="[Measures].[Count of Last Date of Use]" caption="Count of Last Date of Use" measure="1" displayFolder="" measureGroup="SalesEquipment 1" count="0">
      <extLst>
        <ext xmlns:x15="http://schemas.microsoft.com/office/spreadsheetml/2010/11/main" uri="{B97F6D7D-B522-45F9-BDA1-12C45D357490}">
          <x15:cacheHierarchy aggregatedColumn="17"/>
        </ext>
      </extLst>
    </cacheHierarchy>
    <cacheHierarchy uniqueName="[Measures].[Total Revenue in Equipment]" caption="Total Revenue in Equipment" measure="1" displayFolder="" measureGroup="SalesEquipment 1" count="0"/>
    <cacheHierarchy uniqueName="[Measures].[Total Revenue in Spare Parts]" caption="Total Revenue in Spare Parts" measure="1" displayFolder="" measureGroup="SalesSpareParts 1" count="0"/>
    <cacheHierarchy uniqueName="[Measures].[Total Expense in Equipment]" caption="Total Expense in Equipment" measure="1" displayFolder="" measureGroup="SalesEquipment 1" count="0"/>
    <cacheHierarchy uniqueName="[Measures].[Net Revenue in Equipment]" caption="Net Revenue in Equipment" measure="1" displayFolder="" measureGroup="SalesEquipment 1" count="0"/>
    <cacheHierarchy uniqueName="[Measures].[Total Expense in Spare Parts]" caption="Total Expense in Spare Parts" measure="1" displayFolder="" measureGroup="SalesSpareParts 1" count="0"/>
    <cacheHierarchy uniqueName="[Measures].[Net Revenue in Spare Parts]" caption="Net Revenue in Spare Parts" measure="1" displayFolder="" measureGroup="SalesSpareParts 1" count="0"/>
    <cacheHierarchy uniqueName="[Measures].[__XL_Count SalesEquipment]" caption="__XL_Count SalesEquipment" measure="1" displayFolder="" measureGroup="SalesEquipment" count="0" hidden="1"/>
    <cacheHierarchy uniqueName="[Measures].[__XL_Count SalesSpareParts]" caption="__XL_Count SalesSpareParts" measure="1" displayFolder="" measureGroup="SalesSpareParts" count="0" hidden="1"/>
    <cacheHierarchy uniqueName="[Measures].[__XL_Count SalesEquipment 1]" caption="__XL_Count SalesEquipment 1" measure="1" displayFolder="" measureGroup="SalesEquipment 1" count="0" hidden="1"/>
    <cacheHierarchy uniqueName="[Measures].[__XL_Count SalesSpareParts 1]" caption="__XL_Count SalesSpareParts 1" measure="1" displayFolder="" measureGroup="SalesSpareParts 1" count="0" hidden="1"/>
    <cacheHierarchy uniqueName="[Measures].[__XL_Count Sales Calendar]" caption="__XL_Count Sales Calendar" measure="1" displayFolder="" measureGroup="Sales Calendar" count="0" hidden="1"/>
    <cacheHierarchy uniqueName="[Measures].[__No measures defined]" caption="__No measures defined" measure="1" displayFolder="" count="0" hidden="1"/>
  </cacheHierarchies>
  <kpis count="0"/>
  <dimensions count="6">
    <dimension measure="1" name="Measures" uniqueName="[Measures]" caption="Measures"/>
    <dimension name="Sales Calendar" uniqueName="[Sales Calendar]" caption="Sales Calendar"/>
    <dimension name="SalesEquipment" uniqueName="[SalesEquipment]" caption="SalesEquipment"/>
    <dimension name="SalesEquipment 1" uniqueName="[SalesEquipment 1]" caption="SalesEquipment 1"/>
    <dimension name="SalesSpareParts" uniqueName="[SalesSpareParts]" caption="SalesSpareParts"/>
    <dimension name="SalesSpareParts 1" uniqueName="[SalesSpareParts 1]" caption="SalesSpareParts 1"/>
  </dimensions>
  <measureGroups count="5">
    <measureGroup name="Sales Calendar" caption="Sales Calendar"/>
    <measureGroup name="SalesEquipment" caption="SalesEquipment"/>
    <measureGroup name="SalesEquipment 1" caption="SalesEquipment 1"/>
    <measureGroup name="SalesSpareParts" caption="SalesSpareParts"/>
    <measureGroup name="SalesSpareParts 1" caption="SalesSpareParts 1"/>
  </measureGroups>
  <maps count="7">
    <map measureGroup="0" dimension="1"/>
    <map measureGroup="1" dimension="2"/>
    <map measureGroup="2" dimension="1"/>
    <map measureGroup="2" dimension="3"/>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nan Gambarov" refreshedDate="45488.026149768521" backgroundQuery="1" createdVersion="8" refreshedVersion="8" minRefreshableVersion="3" recordCount="0" supportSubquery="1" supportAdvancedDrill="1" xr:uid="{E9BA2CE2-43BE-4A79-850A-F81F1A9C7354}">
  <cacheSource type="external" connectionId="8"/>
  <cacheFields count="5">
    <cacheField name="[Sales Calendar].[Month Name].[Month Name]" caption="Month Name" numFmtId="0" hierarchy="3" level="1">
      <sharedItems count="3">
        <s v="Avqust"/>
        <s v="İyul"/>
        <s v="İyun"/>
      </sharedItems>
    </cacheField>
    <cacheField name="[Sales Calendar].[Year].[Year]" caption="Year" numFmtId="0" hierarchy="1" level="1">
      <sharedItems containsSemiMixedTypes="0" containsString="0" containsNumber="1" containsInteger="1" minValue="2023" maxValue="2024" count="2">
        <n v="2023"/>
        <n v="2024"/>
      </sharedItems>
      <extLst>
        <ext xmlns:x15="http://schemas.microsoft.com/office/spreadsheetml/2010/11/main" uri="{4F2E5C28-24EA-4eb8-9CBF-B6C8F9C3D259}">
          <x15:cachedUniqueNames>
            <x15:cachedUniqueName index="0" name="[Sales Calendar].[Year].&amp;[2023]"/>
            <x15:cachedUniqueName index="1" name="[Sales Calendar].[Year].&amp;[2024]"/>
          </x15:cachedUniqueNames>
        </ext>
      </extLst>
    </cacheField>
    <cacheField name="[Measures].[Net Revenue in Equipment]" caption="Net Revenue in Equipment" numFmtId="0" hierarchy="41" level="32767"/>
    <cacheField name="[Measures].[Net Revenue in Spare Parts]" caption="Net Revenue in Spare Parts" numFmtId="0" hierarchy="43" level="32767"/>
    <cacheField name="[SalesSpareParts 1].[Ehtiyyat hissələrinin adı].[Ehtiyyat hissələrinin adı]" caption="Ehtiyyat hissələrinin adı" numFmtId="0" hierarchy="33" level="1">
      <sharedItems containsSemiMixedTypes="0" containsNonDate="0" containsString="0"/>
    </cacheField>
  </cacheFields>
  <cacheHierarchies count="50">
    <cacheHierarchy uniqueName="[Sales Calendar].[Sales Date]" caption="Sales Date" attribute="1" time="1" defaultMemberUniqueName="[Sales Calendar].[Sales Date].[All]" allUniqueName="[Sales Calendar].[Sales Date].[All]" dimensionUniqueName="[Sales Calendar]" displayFolder="" count="2" memberValueDatatype="7" unbalanced="0"/>
    <cacheHierarchy uniqueName="[Sales Calendar].[Year]" caption="Year" attribute="1" defaultMemberUniqueName="[Sales Calendar].[Year].[All]" allUniqueName="[Sales Calendar].[Year].[All]" dimensionUniqueName="[Sales Calendar]" displayFolder="" count="2" memberValueDatatype="20" unbalanced="0">
      <fieldsUsage count="2">
        <fieldUsage x="-1"/>
        <fieldUsage x="1"/>
      </fieldsUsage>
    </cacheHierarchy>
    <cacheHierarchy uniqueName="[Sales Calendar].[Month]" caption="Month" attribute="1" defaultMemberUniqueName="[Sales Calendar].[Month].[All]" allUniqueName="[Sales Calendar].[Month].[All]" dimensionUniqueName="[Sales Calendar]" displayFolder="" count="0" memberValueDatatype="20" unbalanced="0"/>
    <cacheHierarchy uniqueName="[Sales Calendar].[Month Name]" caption="Month Name" attribute="1" defaultMemberUniqueName="[Sales Calendar].[Month Name].[All]" allUniqueName="[Sales Calendar].[Month Name].[All]" dimensionUniqueName="[Sales Calendar]" displayFolder="" count="2" memberValueDatatype="130" unbalanced="0">
      <fieldsUsage count="2">
        <fieldUsage x="-1"/>
        <fieldUsage x="0"/>
      </fieldsUsage>
    </cacheHierarchy>
    <cacheHierarchy uniqueName="[SalesEquipment].[Sales ID]" caption="Sales ID" attribute="1" defaultMemberUniqueName="[SalesEquipment].[Sales ID].[All]" allUniqueName="[SalesEquipment].[Sales ID].[All]" dimensionUniqueName="[SalesEquipment]" displayFolder="" count="0" memberValueDatatype="130" unbalanced="0"/>
    <cacheHierarchy uniqueName="[SalesEquipment].[Sales Date]" caption="Sales Date" attribute="1" time="1" defaultMemberUniqueName="[SalesEquipment].[Sales Date].[All]" allUniqueName="[SalesEquipment].[Sales Date].[All]" dimensionUniqueName="[SalesEquipment]" displayFolder="" count="0" memberValueDatatype="7" unbalanced="0"/>
    <cacheHierarchy uniqueName="[SalesEquipment].[Equipment ID]" caption="Equipment ID" attribute="1" defaultMemberUniqueName="[SalesEquipment].[Equipment ID].[All]" allUniqueName="[SalesEquipment].[Equipment ID].[All]" dimensionUniqueName="[SalesEquipment]" displayFolder="" count="0" memberValueDatatype="130" unbalanced="0"/>
    <cacheHierarchy uniqueName="[SalesEquipment].[Customer ID]" caption="Customer ID" attribute="1" defaultMemberUniqueName="[SalesEquipment].[Customer ID].[All]" allUniqueName="[SalesEquipment].[Customer ID].[All]" dimensionUniqueName="[SalesEquipment]" displayFolder="" count="0" memberValueDatatype="130" unbalanced="0"/>
    <cacheHierarchy uniqueName="[SalesEquipment].[Sales Price]" caption="Sales Price" attribute="1" defaultMemberUniqueName="[SalesEquipment].[Sales Price].[All]" allUniqueName="[SalesEquipment].[Sales Price].[All]" dimensionUniqueName="[SalesEquipment]" displayFolder="" count="0" memberValueDatatype="20" unbalanced="0"/>
    <cacheHierarchy uniqueName="[SalesEquipment].[Quantity]" caption="Quantity" attribute="1" defaultMemberUniqueName="[SalesEquipment].[Quantity].[All]" allUniqueName="[SalesEquipment].[Quantity].[All]" dimensionUniqueName="[SalesEquipment]" displayFolder="" count="0" memberValueDatatype="20" unbalanced="0"/>
    <cacheHierarchy uniqueName="[SalesEquipment].[Last Date of Use]" caption="Last Date of Use" attribute="1" time="1" defaultMemberUniqueName="[SalesEquipment].[Last Date of Use].[All]" allUniqueName="[SalesEquipment].[Last Date of Use].[All]" dimensionUniqueName="[SalesEquipment]" displayFolder="" count="0" memberValueDatatype="7" unbalanced="0"/>
    <cacheHierarchy uniqueName="[SalesEquipment 1].[Sales ID]" caption="Sales ID" attribute="1" defaultMemberUniqueName="[SalesEquipment 1].[Sales ID].[All]" allUniqueName="[SalesEquipment 1].[Sales ID].[All]" dimensionUniqueName="[SalesEquipment 1]" displayFolder="" count="0" memberValueDatatype="130" unbalanced="0"/>
    <cacheHierarchy uniqueName="[SalesEquipment 1].[Sales Date]" caption="Sales Date" attribute="1" time="1" defaultMemberUniqueName="[SalesEquipment 1].[Sales Date].[All]" allUniqueName="[SalesEquipment 1].[Sales Date].[All]" dimensionUniqueName="[SalesEquipment 1]" displayFolder="" count="0" memberValueDatatype="7" unbalanced="0"/>
    <cacheHierarchy uniqueName="[SalesEquipment 1].[Equipment ID]" caption="Equipment ID" attribute="1" defaultMemberUniqueName="[SalesEquipment 1].[Equipment ID].[All]" allUniqueName="[SalesEquipment 1].[Equipment ID].[All]" dimensionUniqueName="[SalesEquipment 1]" displayFolder="" count="0" memberValueDatatype="130" unbalanced="0"/>
    <cacheHierarchy uniqueName="[SalesEquipment 1].[Customer ID]" caption="Customer ID" attribute="1" defaultMemberUniqueName="[SalesEquipment 1].[Customer ID].[All]" allUniqueName="[SalesEquipment 1].[Customer ID].[All]" dimensionUniqueName="[SalesEquipment 1]" displayFolder="" count="0" memberValueDatatype="130" unbalanced="0"/>
    <cacheHierarchy uniqueName="[SalesEquipment 1].[Sales Price]" caption="Sales Price" attribute="1" defaultMemberUniqueName="[SalesEquipment 1].[Sales Price].[All]" allUniqueName="[SalesEquipment 1].[Sales Price].[All]" dimensionUniqueName="[SalesEquipment 1]" displayFolder="" count="0" memberValueDatatype="20" unbalanced="0"/>
    <cacheHierarchy uniqueName="[SalesEquipment 1].[Quantity]" caption="Quantity" attribute="1" defaultMemberUniqueName="[SalesEquipment 1].[Quantity].[All]" allUniqueName="[SalesEquipment 1].[Quantity].[All]" dimensionUniqueName="[SalesEquipment 1]" displayFolder="" count="0" memberValueDatatype="20" unbalanced="0"/>
    <cacheHierarchy uniqueName="[SalesEquipment 1].[Last Date of Use]" caption="Last Date of Use" attribute="1" time="1" defaultMemberUniqueName="[SalesEquipment 1].[Last Date of Use].[All]" allUniqueName="[SalesEquipment 1].[Last Date of Use].[All]" dimensionUniqueName="[SalesEquipment 1]" displayFolder="" count="0" memberValueDatatype="7" unbalanced="0"/>
    <cacheHierarchy uniqueName="[SalesEquipment 1].[Alış dəyəri]" caption="Alış dəyəri" attribute="1" defaultMemberUniqueName="[SalesEquipment 1].[Alış dəyəri].[All]" allUniqueName="[SalesEquipment 1].[Alış dəyəri].[All]" dimensionUniqueName="[SalesEquipment 1]" displayFolder="" count="0" memberValueDatatype="5" unbalanced="0"/>
    <cacheHierarchy uniqueName="[SalesEquipment 1].[Avadanlığın adı]" caption="Avadanlığın adı" attribute="1" defaultMemberUniqueName="[SalesEquipment 1].[Avadanlığın adı].[All]" allUniqueName="[SalesEquipment 1].[Avadanlığın adı].[All]" dimensionUniqueName="[SalesEquipment 1]" displayFolder="" count="2" memberValueDatatype="130" unbalanced="0"/>
    <cacheHierarchy uniqueName="[SalesSpareParts].[Sales ID]" caption="Sales ID" attribute="1" defaultMemberUniqueName="[SalesSpareParts].[Sales ID].[All]" allUniqueName="[SalesSpareParts].[Sales ID].[All]" dimensionUniqueName="[SalesSpareParts]" displayFolder="" count="0" memberValueDatatype="130" unbalanced="0"/>
    <cacheHierarchy uniqueName="[SalesSpareParts].[Sales Date]" caption="Sales Date" attribute="1" time="1" defaultMemberUniqueName="[SalesSpareParts].[Sales Date].[All]" allUniqueName="[SalesSpareParts].[Sales Date].[All]" dimensionUniqueName="[SalesSpareParts]" displayFolder="" count="0" memberValueDatatype="7" unbalanced="0"/>
    <cacheHierarchy uniqueName="[SalesSpareParts].[Spare Part ID]" caption="Spare Part ID" attribute="1" defaultMemberUniqueName="[SalesSpareParts].[Spare Part ID].[All]" allUniqueName="[SalesSpareParts].[Spare Part ID].[All]" dimensionUniqueName="[SalesSpareParts]" displayFolder="" count="0" memberValueDatatype="130" unbalanced="0"/>
    <cacheHierarchy uniqueName="[SalesSpareParts].[Customer ID]" caption="Customer ID" attribute="1" defaultMemberUniqueName="[SalesSpareParts].[Customer ID].[All]" allUniqueName="[SalesSpareParts].[Customer ID].[All]" dimensionUniqueName="[SalesSpareParts]" displayFolder="" count="0" memberValueDatatype="130" unbalanced="0"/>
    <cacheHierarchy uniqueName="[SalesSpareParts].[Quantity]" caption="Quantity" attribute="1" defaultMemberUniqueName="[SalesSpareParts].[Quantity].[All]" allUniqueName="[SalesSpareParts].[Quantity].[All]" dimensionUniqueName="[SalesSpareParts]" displayFolder="" count="0" memberValueDatatype="20" unbalanced="0"/>
    <cacheHierarchy uniqueName="[SalesSpareParts].[Sales Price]" caption="Sales Price" attribute="1" defaultMemberUniqueName="[SalesSpareParts].[Sales Price].[All]" allUniqueName="[SalesSpareParts].[Sales Price].[All]" dimensionUniqueName="[SalesSpareParts]" displayFolder="" count="0" memberValueDatatype="20" unbalanced="0"/>
    <cacheHierarchy uniqueName="[SalesSpareParts 1].[Sales ID]" caption="Sales ID" attribute="1" defaultMemberUniqueName="[SalesSpareParts 1].[Sales ID].[All]" allUniqueName="[SalesSpareParts 1].[Sales ID].[All]" dimensionUniqueName="[SalesSpareParts 1]" displayFolder="" count="0" memberValueDatatype="130" unbalanced="0"/>
    <cacheHierarchy uniqueName="[SalesSpareParts 1].[Sales Date]" caption="Sales Date" attribute="1" time="1" defaultMemberUniqueName="[SalesSpareParts 1].[Sales Date].[All]" allUniqueName="[SalesSpareParts 1].[Sales Date].[All]" dimensionUniqueName="[SalesSpareParts 1]" displayFolder="" count="0" memberValueDatatype="7" unbalanced="0"/>
    <cacheHierarchy uniqueName="[SalesSpareParts 1].[Spare Part ID]" caption="Spare Part ID" attribute="1" defaultMemberUniqueName="[SalesSpareParts 1].[Spare Part ID].[All]" allUniqueName="[SalesSpareParts 1].[Spare Part ID].[All]" dimensionUniqueName="[SalesSpareParts 1]" displayFolder="" count="0" memberValueDatatype="130" unbalanced="0"/>
    <cacheHierarchy uniqueName="[SalesSpareParts 1].[Customer ID]" caption="Customer ID" attribute="1" defaultMemberUniqueName="[SalesSpareParts 1].[Customer ID].[All]" allUniqueName="[SalesSpareParts 1].[Customer ID].[All]" dimensionUniqueName="[SalesSpareParts 1]" displayFolder="" count="0" memberValueDatatype="130" unbalanced="0"/>
    <cacheHierarchy uniqueName="[SalesSpareParts 1].[Quantity]" caption="Quantity" attribute="1" defaultMemberUniqueName="[SalesSpareParts 1].[Quantity].[All]" allUniqueName="[SalesSpareParts 1].[Quantity].[All]" dimensionUniqueName="[SalesSpareParts 1]" displayFolder="" count="0" memberValueDatatype="20" unbalanced="0"/>
    <cacheHierarchy uniqueName="[SalesSpareParts 1].[Sales Price]" caption="Sales Price" attribute="1" defaultMemberUniqueName="[SalesSpareParts 1].[Sales Price].[All]" allUniqueName="[SalesSpareParts 1].[Sales Price].[All]" dimensionUniqueName="[SalesSpareParts 1]" displayFolder="" count="0" memberValueDatatype="20" unbalanced="0"/>
    <cacheHierarchy uniqueName="[SalesSpareParts 1].[Alış dəyəri]" caption="Alış dəyəri" attribute="1" defaultMemberUniqueName="[SalesSpareParts 1].[Alış dəyəri].[All]" allUniqueName="[SalesSpareParts 1].[Alış dəyəri].[All]" dimensionUniqueName="[SalesSpareParts 1]" displayFolder="" count="0" memberValueDatatype="5" unbalanced="0"/>
    <cacheHierarchy uniqueName="[SalesSpareParts 1].[Ehtiyyat hissələrinin adı]" caption="Ehtiyyat hissələrinin adı" attribute="1" defaultMemberUniqueName="[SalesSpareParts 1].[Ehtiyyat hissələrinin adı].[All]" allUniqueName="[SalesSpareParts 1].[Ehtiyyat hissələrinin adı].[All]" dimensionUniqueName="[SalesSpareParts 1]" displayFolder="" count="2" memberValueDatatype="130" unbalanced="0">
      <fieldsUsage count="2">
        <fieldUsage x="-1"/>
        <fieldUsage x="4"/>
      </fieldsUsage>
    </cacheHierarchy>
    <cacheHierarchy uniqueName="[Measures].[Sum of Quantity]" caption="Sum of Quantity" measure="1" displayFolder="" measureGroup="SalesEquipment" count="0">
      <extLst>
        <ext xmlns:x15="http://schemas.microsoft.com/office/spreadsheetml/2010/11/main" uri="{B97F6D7D-B522-45F9-BDA1-12C45D357490}">
          <x15:cacheHierarchy aggregatedColumn="9"/>
        </ext>
      </extLst>
    </cacheHierarchy>
    <cacheHierarchy uniqueName="[Measures].[Sum of Quantity 2]" caption="Sum of Quantity 2" measure="1" displayFolder="" measureGroup="SalesEquipment 1" count="0">
      <extLst>
        <ext xmlns:x15="http://schemas.microsoft.com/office/spreadsheetml/2010/11/main" uri="{B97F6D7D-B522-45F9-BDA1-12C45D357490}">
          <x15:cacheHierarchy aggregatedColumn="16"/>
        </ext>
      </extLst>
    </cacheHierarchy>
    <cacheHierarchy uniqueName="[Measures].[Sum of Quantity 3]" caption="Sum of Quantity 3" measure="1" displayFolder="" measureGroup="SalesSpareParts 1" count="0">
      <extLst>
        <ext xmlns:x15="http://schemas.microsoft.com/office/spreadsheetml/2010/11/main" uri="{B97F6D7D-B522-45F9-BDA1-12C45D357490}">
          <x15:cacheHierarchy aggregatedColumn="30"/>
        </ext>
      </extLst>
    </cacheHierarchy>
    <cacheHierarchy uniqueName="[Measures].[Count of Last Date of Use]" caption="Count of Last Date of Use" measure="1" displayFolder="" measureGroup="SalesEquipment 1" count="0">
      <extLst>
        <ext xmlns:x15="http://schemas.microsoft.com/office/spreadsheetml/2010/11/main" uri="{B97F6D7D-B522-45F9-BDA1-12C45D357490}">
          <x15:cacheHierarchy aggregatedColumn="17"/>
        </ext>
      </extLst>
    </cacheHierarchy>
    <cacheHierarchy uniqueName="[Measures].[Total Revenue in Equipment]" caption="Total Revenue in Equipment" measure="1" displayFolder="" measureGroup="SalesEquipment 1" count="0"/>
    <cacheHierarchy uniqueName="[Measures].[Total Revenue in Spare Parts]" caption="Total Revenue in Spare Parts" measure="1" displayFolder="" measureGroup="SalesSpareParts 1" count="0"/>
    <cacheHierarchy uniqueName="[Measures].[Total Expense in Equipment]" caption="Total Expense in Equipment" measure="1" displayFolder="" measureGroup="SalesEquipment 1" count="0"/>
    <cacheHierarchy uniqueName="[Measures].[Net Revenue in Equipment]" caption="Net Revenue in Equipment" measure="1" displayFolder="" measureGroup="SalesEquipment 1" count="0" oneField="1">
      <fieldsUsage count="1">
        <fieldUsage x="2"/>
      </fieldsUsage>
    </cacheHierarchy>
    <cacheHierarchy uniqueName="[Measures].[Total Expense in Spare Parts]" caption="Total Expense in Spare Parts" measure="1" displayFolder="" measureGroup="SalesSpareParts 1" count="0"/>
    <cacheHierarchy uniqueName="[Measures].[Net Revenue in Spare Parts]" caption="Net Revenue in Spare Parts" measure="1" displayFolder="" measureGroup="SalesSpareParts 1" count="0" oneField="1">
      <fieldsUsage count="1">
        <fieldUsage x="3"/>
      </fieldsUsage>
    </cacheHierarchy>
    <cacheHierarchy uniqueName="[Measures].[__XL_Count SalesEquipment]" caption="__XL_Count SalesEquipment" measure="1" displayFolder="" measureGroup="SalesEquipment" count="0" hidden="1"/>
    <cacheHierarchy uniqueName="[Measures].[__XL_Count SalesSpareParts]" caption="__XL_Count SalesSpareParts" measure="1" displayFolder="" measureGroup="SalesSpareParts" count="0" hidden="1"/>
    <cacheHierarchy uniqueName="[Measures].[__XL_Count SalesEquipment 1]" caption="__XL_Count SalesEquipment 1" measure="1" displayFolder="" measureGroup="SalesEquipment 1" count="0" hidden="1"/>
    <cacheHierarchy uniqueName="[Measures].[__XL_Count SalesSpareParts 1]" caption="__XL_Count SalesSpareParts 1" measure="1" displayFolder="" measureGroup="SalesSpareParts 1" count="0" hidden="1"/>
    <cacheHierarchy uniqueName="[Measures].[__XL_Count Sales Calendar]" caption="__XL_Count Sales Calendar" measure="1" displayFolder="" measureGroup="Sales Calendar" count="0" hidden="1"/>
    <cacheHierarchy uniqueName="[Measures].[__No measures defined]" caption="__No measures defined" measure="1" displayFolder="" count="0" hidden="1"/>
  </cacheHierarchies>
  <kpis count="0"/>
  <dimensions count="6">
    <dimension measure="1" name="Measures" uniqueName="[Measures]" caption="Measures"/>
    <dimension name="Sales Calendar" uniqueName="[Sales Calendar]" caption="Sales Calendar"/>
    <dimension name="SalesEquipment" uniqueName="[SalesEquipment]" caption="SalesEquipment"/>
    <dimension name="SalesEquipment 1" uniqueName="[SalesEquipment 1]" caption="SalesEquipment 1"/>
    <dimension name="SalesSpareParts" uniqueName="[SalesSpareParts]" caption="SalesSpareParts"/>
    <dimension name="SalesSpareParts 1" uniqueName="[SalesSpareParts 1]" caption="SalesSpareParts 1"/>
  </dimensions>
  <measureGroups count="5">
    <measureGroup name="Sales Calendar" caption="Sales Calendar"/>
    <measureGroup name="SalesEquipment" caption="SalesEquipment"/>
    <measureGroup name="SalesEquipment 1" caption="SalesEquipment 1"/>
    <measureGroup name="SalesSpareParts" caption="SalesSpareParts"/>
    <measureGroup name="SalesSpareParts 1" caption="SalesSpareParts 1"/>
  </measureGroups>
  <maps count="7">
    <map measureGroup="0" dimension="1"/>
    <map measureGroup="1" dimension="2"/>
    <map measureGroup="2" dimension="1"/>
    <map measureGroup="2" dimension="3"/>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nan Gambarov" refreshedDate="45488.026150231482" backgroundQuery="1" createdVersion="8" refreshedVersion="8" minRefreshableVersion="3" recordCount="0" supportSubquery="1" supportAdvancedDrill="1" xr:uid="{CCE60D49-7EE5-47C5-A2D1-A274F50E57CA}">
  <cacheSource type="external" connectionId="8"/>
  <cacheFields count="4">
    <cacheField name="[Sales Calendar].[Month Name].[Month Name]" caption="Month Name" numFmtId="0" hierarchy="3" level="1">
      <sharedItems count="3">
        <s v="Avqust"/>
        <s v="İyul"/>
        <s v="İyun"/>
      </sharedItems>
    </cacheField>
    <cacheField name="[Measures].[Net Revenue in Equipment]" caption="Net Revenue in Equipment" numFmtId="0" hierarchy="41" level="32767"/>
    <cacheField name="[Measures].[Net Revenue in Spare Parts]" caption="Net Revenue in Spare Parts" numFmtId="0" hierarchy="43" level="32767"/>
    <cacheField name="[SalesSpareParts 1].[Ehtiyyat hissələrinin adı].[Ehtiyyat hissələrinin adı]" caption="Ehtiyyat hissələrinin adı" numFmtId="0" hierarchy="33" level="1">
      <sharedItems containsSemiMixedTypes="0" containsNonDate="0" containsString="0"/>
    </cacheField>
  </cacheFields>
  <cacheHierarchies count="50">
    <cacheHierarchy uniqueName="[Sales Calendar].[Sales Date]" caption="Sales Date" attribute="1" time="1" defaultMemberUniqueName="[Sales Calendar].[Sales Date].[All]" allUniqueName="[Sales Calendar].[Sales Date].[All]" dimensionUniqueName="[Sales Calendar]" displayFolder="" count="2" memberValueDatatype="7" unbalanced="0"/>
    <cacheHierarchy uniqueName="[Sales Calendar].[Year]" caption="Year" attribute="1" defaultMemberUniqueName="[Sales Calendar].[Year].[All]" allUniqueName="[Sales Calendar].[Year].[All]" dimensionUniqueName="[Sales Calendar]" displayFolder="" count="0" memberValueDatatype="20" unbalanced="0"/>
    <cacheHierarchy uniqueName="[Sales Calendar].[Month]" caption="Month" attribute="1" defaultMemberUniqueName="[Sales Calendar].[Month].[All]" allUniqueName="[Sales Calendar].[Month].[All]" dimensionUniqueName="[Sales Calendar]" displayFolder="" count="0" memberValueDatatype="20" unbalanced="0"/>
    <cacheHierarchy uniqueName="[Sales Calendar].[Month Name]" caption="Month Name" attribute="1" defaultMemberUniqueName="[Sales Calendar].[Month Name].[All]" allUniqueName="[Sales Calendar].[Month Name].[All]" dimensionUniqueName="[Sales Calendar]" displayFolder="" count="2" memberValueDatatype="130" unbalanced="0">
      <fieldsUsage count="2">
        <fieldUsage x="-1"/>
        <fieldUsage x="0"/>
      </fieldsUsage>
    </cacheHierarchy>
    <cacheHierarchy uniqueName="[SalesEquipment].[Sales ID]" caption="Sales ID" attribute="1" defaultMemberUniqueName="[SalesEquipment].[Sales ID].[All]" allUniqueName="[SalesEquipment].[Sales ID].[All]" dimensionUniqueName="[SalesEquipment]" displayFolder="" count="0" memberValueDatatype="130" unbalanced="0"/>
    <cacheHierarchy uniqueName="[SalesEquipment].[Sales Date]" caption="Sales Date" attribute="1" time="1" defaultMemberUniqueName="[SalesEquipment].[Sales Date].[All]" allUniqueName="[SalesEquipment].[Sales Date].[All]" dimensionUniqueName="[SalesEquipment]" displayFolder="" count="0" memberValueDatatype="7" unbalanced="0"/>
    <cacheHierarchy uniqueName="[SalesEquipment].[Equipment ID]" caption="Equipment ID" attribute="1" defaultMemberUniqueName="[SalesEquipment].[Equipment ID].[All]" allUniqueName="[SalesEquipment].[Equipment ID].[All]" dimensionUniqueName="[SalesEquipment]" displayFolder="" count="0" memberValueDatatype="130" unbalanced="0"/>
    <cacheHierarchy uniqueName="[SalesEquipment].[Customer ID]" caption="Customer ID" attribute="1" defaultMemberUniqueName="[SalesEquipment].[Customer ID].[All]" allUniqueName="[SalesEquipment].[Customer ID].[All]" dimensionUniqueName="[SalesEquipment]" displayFolder="" count="0" memberValueDatatype="130" unbalanced="0"/>
    <cacheHierarchy uniqueName="[SalesEquipment].[Sales Price]" caption="Sales Price" attribute="1" defaultMemberUniqueName="[SalesEquipment].[Sales Price].[All]" allUniqueName="[SalesEquipment].[Sales Price].[All]" dimensionUniqueName="[SalesEquipment]" displayFolder="" count="0" memberValueDatatype="20" unbalanced="0"/>
    <cacheHierarchy uniqueName="[SalesEquipment].[Quantity]" caption="Quantity" attribute="1" defaultMemberUniqueName="[SalesEquipment].[Quantity].[All]" allUniqueName="[SalesEquipment].[Quantity].[All]" dimensionUniqueName="[SalesEquipment]" displayFolder="" count="0" memberValueDatatype="20" unbalanced="0"/>
    <cacheHierarchy uniqueName="[SalesEquipment].[Last Date of Use]" caption="Last Date of Use" attribute="1" time="1" defaultMemberUniqueName="[SalesEquipment].[Last Date of Use].[All]" allUniqueName="[SalesEquipment].[Last Date of Use].[All]" dimensionUniqueName="[SalesEquipment]" displayFolder="" count="0" memberValueDatatype="7" unbalanced="0"/>
    <cacheHierarchy uniqueName="[SalesEquipment 1].[Sales ID]" caption="Sales ID" attribute="1" defaultMemberUniqueName="[SalesEquipment 1].[Sales ID].[All]" allUniqueName="[SalesEquipment 1].[Sales ID].[All]" dimensionUniqueName="[SalesEquipment 1]" displayFolder="" count="0" memberValueDatatype="130" unbalanced="0"/>
    <cacheHierarchy uniqueName="[SalesEquipment 1].[Sales Date]" caption="Sales Date" attribute="1" time="1" defaultMemberUniqueName="[SalesEquipment 1].[Sales Date].[All]" allUniqueName="[SalesEquipment 1].[Sales Date].[All]" dimensionUniqueName="[SalesEquipment 1]" displayFolder="" count="0" memberValueDatatype="7" unbalanced="0"/>
    <cacheHierarchy uniqueName="[SalesEquipment 1].[Equipment ID]" caption="Equipment ID" attribute="1" defaultMemberUniqueName="[SalesEquipment 1].[Equipment ID].[All]" allUniqueName="[SalesEquipment 1].[Equipment ID].[All]" dimensionUniqueName="[SalesEquipment 1]" displayFolder="" count="0" memberValueDatatype="130" unbalanced="0"/>
    <cacheHierarchy uniqueName="[SalesEquipment 1].[Customer ID]" caption="Customer ID" attribute="1" defaultMemberUniqueName="[SalesEquipment 1].[Customer ID].[All]" allUniqueName="[SalesEquipment 1].[Customer ID].[All]" dimensionUniqueName="[SalesEquipment 1]" displayFolder="" count="0" memberValueDatatype="130" unbalanced="0"/>
    <cacheHierarchy uniqueName="[SalesEquipment 1].[Sales Price]" caption="Sales Price" attribute="1" defaultMemberUniqueName="[SalesEquipment 1].[Sales Price].[All]" allUniqueName="[SalesEquipment 1].[Sales Price].[All]" dimensionUniqueName="[SalesEquipment 1]" displayFolder="" count="0" memberValueDatatype="20" unbalanced="0"/>
    <cacheHierarchy uniqueName="[SalesEquipment 1].[Quantity]" caption="Quantity" attribute="1" defaultMemberUniqueName="[SalesEquipment 1].[Quantity].[All]" allUniqueName="[SalesEquipment 1].[Quantity].[All]" dimensionUniqueName="[SalesEquipment 1]" displayFolder="" count="0" memberValueDatatype="20" unbalanced="0"/>
    <cacheHierarchy uniqueName="[SalesEquipment 1].[Last Date of Use]" caption="Last Date of Use" attribute="1" time="1" defaultMemberUniqueName="[SalesEquipment 1].[Last Date of Use].[All]" allUniqueName="[SalesEquipment 1].[Last Date of Use].[All]" dimensionUniqueName="[SalesEquipment 1]" displayFolder="" count="0" memberValueDatatype="7" unbalanced="0"/>
    <cacheHierarchy uniqueName="[SalesEquipment 1].[Alış dəyəri]" caption="Alış dəyəri" attribute="1" defaultMemberUniqueName="[SalesEquipment 1].[Alış dəyəri].[All]" allUniqueName="[SalesEquipment 1].[Alış dəyəri].[All]" dimensionUniqueName="[SalesEquipment 1]" displayFolder="" count="0" memberValueDatatype="5" unbalanced="0"/>
    <cacheHierarchy uniqueName="[SalesEquipment 1].[Avadanlığın adı]" caption="Avadanlığın adı" attribute="1" defaultMemberUniqueName="[SalesEquipment 1].[Avadanlığın adı].[All]" allUniqueName="[SalesEquipment 1].[Avadanlığın adı].[All]" dimensionUniqueName="[SalesEquipment 1]" displayFolder="" count="2" memberValueDatatype="130" unbalanced="0"/>
    <cacheHierarchy uniqueName="[SalesSpareParts].[Sales ID]" caption="Sales ID" attribute="1" defaultMemberUniqueName="[SalesSpareParts].[Sales ID].[All]" allUniqueName="[SalesSpareParts].[Sales ID].[All]" dimensionUniqueName="[SalesSpareParts]" displayFolder="" count="0" memberValueDatatype="130" unbalanced="0"/>
    <cacheHierarchy uniqueName="[SalesSpareParts].[Sales Date]" caption="Sales Date" attribute="1" time="1" defaultMemberUniqueName="[SalesSpareParts].[Sales Date].[All]" allUniqueName="[SalesSpareParts].[Sales Date].[All]" dimensionUniqueName="[SalesSpareParts]" displayFolder="" count="0" memberValueDatatype="7" unbalanced="0"/>
    <cacheHierarchy uniqueName="[SalesSpareParts].[Spare Part ID]" caption="Spare Part ID" attribute="1" defaultMemberUniqueName="[SalesSpareParts].[Spare Part ID].[All]" allUniqueName="[SalesSpareParts].[Spare Part ID].[All]" dimensionUniqueName="[SalesSpareParts]" displayFolder="" count="0" memberValueDatatype="130" unbalanced="0"/>
    <cacheHierarchy uniqueName="[SalesSpareParts].[Customer ID]" caption="Customer ID" attribute="1" defaultMemberUniqueName="[SalesSpareParts].[Customer ID].[All]" allUniqueName="[SalesSpareParts].[Customer ID].[All]" dimensionUniqueName="[SalesSpareParts]" displayFolder="" count="0" memberValueDatatype="130" unbalanced="0"/>
    <cacheHierarchy uniqueName="[SalesSpareParts].[Quantity]" caption="Quantity" attribute="1" defaultMemberUniqueName="[SalesSpareParts].[Quantity].[All]" allUniqueName="[SalesSpareParts].[Quantity].[All]" dimensionUniqueName="[SalesSpareParts]" displayFolder="" count="0" memberValueDatatype="20" unbalanced="0"/>
    <cacheHierarchy uniqueName="[SalesSpareParts].[Sales Price]" caption="Sales Price" attribute="1" defaultMemberUniqueName="[SalesSpareParts].[Sales Price].[All]" allUniqueName="[SalesSpareParts].[Sales Price].[All]" dimensionUniqueName="[SalesSpareParts]" displayFolder="" count="0" memberValueDatatype="20" unbalanced="0"/>
    <cacheHierarchy uniqueName="[SalesSpareParts 1].[Sales ID]" caption="Sales ID" attribute="1" defaultMemberUniqueName="[SalesSpareParts 1].[Sales ID].[All]" allUniqueName="[SalesSpareParts 1].[Sales ID].[All]" dimensionUniqueName="[SalesSpareParts 1]" displayFolder="" count="0" memberValueDatatype="130" unbalanced="0"/>
    <cacheHierarchy uniqueName="[SalesSpareParts 1].[Sales Date]" caption="Sales Date" attribute="1" time="1" defaultMemberUniqueName="[SalesSpareParts 1].[Sales Date].[All]" allUniqueName="[SalesSpareParts 1].[Sales Date].[All]" dimensionUniqueName="[SalesSpareParts 1]" displayFolder="" count="0" memberValueDatatype="7" unbalanced="0"/>
    <cacheHierarchy uniqueName="[SalesSpareParts 1].[Spare Part ID]" caption="Spare Part ID" attribute="1" defaultMemberUniqueName="[SalesSpareParts 1].[Spare Part ID].[All]" allUniqueName="[SalesSpareParts 1].[Spare Part ID].[All]" dimensionUniqueName="[SalesSpareParts 1]" displayFolder="" count="0" memberValueDatatype="130" unbalanced="0"/>
    <cacheHierarchy uniqueName="[SalesSpareParts 1].[Customer ID]" caption="Customer ID" attribute="1" defaultMemberUniqueName="[SalesSpareParts 1].[Customer ID].[All]" allUniqueName="[SalesSpareParts 1].[Customer ID].[All]" dimensionUniqueName="[SalesSpareParts 1]" displayFolder="" count="0" memberValueDatatype="130" unbalanced="0"/>
    <cacheHierarchy uniqueName="[SalesSpareParts 1].[Quantity]" caption="Quantity" attribute="1" defaultMemberUniqueName="[SalesSpareParts 1].[Quantity].[All]" allUniqueName="[SalesSpareParts 1].[Quantity].[All]" dimensionUniqueName="[SalesSpareParts 1]" displayFolder="" count="0" memberValueDatatype="20" unbalanced="0"/>
    <cacheHierarchy uniqueName="[SalesSpareParts 1].[Sales Price]" caption="Sales Price" attribute="1" defaultMemberUniqueName="[SalesSpareParts 1].[Sales Price].[All]" allUniqueName="[SalesSpareParts 1].[Sales Price].[All]" dimensionUniqueName="[SalesSpareParts 1]" displayFolder="" count="0" memberValueDatatype="20" unbalanced="0"/>
    <cacheHierarchy uniqueName="[SalesSpareParts 1].[Alış dəyəri]" caption="Alış dəyəri" attribute="1" defaultMemberUniqueName="[SalesSpareParts 1].[Alış dəyəri].[All]" allUniqueName="[SalesSpareParts 1].[Alış dəyəri].[All]" dimensionUniqueName="[SalesSpareParts 1]" displayFolder="" count="0" memberValueDatatype="5" unbalanced="0"/>
    <cacheHierarchy uniqueName="[SalesSpareParts 1].[Ehtiyyat hissələrinin adı]" caption="Ehtiyyat hissələrinin adı" attribute="1" defaultMemberUniqueName="[SalesSpareParts 1].[Ehtiyyat hissələrinin adı].[All]" allUniqueName="[SalesSpareParts 1].[Ehtiyyat hissələrinin adı].[All]" dimensionUniqueName="[SalesSpareParts 1]" displayFolder="" count="2" memberValueDatatype="130" unbalanced="0">
      <fieldsUsage count="2">
        <fieldUsage x="-1"/>
        <fieldUsage x="3"/>
      </fieldsUsage>
    </cacheHierarchy>
    <cacheHierarchy uniqueName="[Measures].[Sum of Quantity]" caption="Sum of Quantity" measure="1" displayFolder="" measureGroup="SalesEquipment" count="0">
      <extLst>
        <ext xmlns:x15="http://schemas.microsoft.com/office/spreadsheetml/2010/11/main" uri="{B97F6D7D-B522-45F9-BDA1-12C45D357490}">
          <x15:cacheHierarchy aggregatedColumn="9"/>
        </ext>
      </extLst>
    </cacheHierarchy>
    <cacheHierarchy uniqueName="[Measures].[Sum of Quantity 2]" caption="Sum of Quantity 2" measure="1" displayFolder="" measureGroup="SalesEquipment 1" count="0">
      <extLst>
        <ext xmlns:x15="http://schemas.microsoft.com/office/spreadsheetml/2010/11/main" uri="{B97F6D7D-B522-45F9-BDA1-12C45D357490}">
          <x15:cacheHierarchy aggregatedColumn="16"/>
        </ext>
      </extLst>
    </cacheHierarchy>
    <cacheHierarchy uniqueName="[Measures].[Sum of Quantity 3]" caption="Sum of Quantity 3" measure="1" displayFolder="" measureGroup="SalesSpareParts 1" count="0">
      <extLst>
        <ext xmlns:x15="http://schemas.microsoft.com/office/spreadsheetml/2010/11/main" uri="{B97F6D7D-B522-45F9-BDA1-12C45D357490}">
          <x15:cacheHierarchy aggregatedColumn="30"/>
        </ext>
      </extLst>
    </cacheHierarchy>
    <cacheHierarchy uniqueName="[Measures].[Count of Last Date of Use]" caption="Count of Last Date of Use" measure="1" displayFolder="" measureGroup="SalesEquipment 1" count="0">
      <extLst>
        <ext xmlns:x15="http://schemas.microsoft.com/office/spreadsheetml/2010/11/main" uri="{B97F6D7D-B522-45F9-BDA1-12C45D357490}">
          <x15:cacheHierarchy aggregatedColumn="17"/>
        </ext>
      </extLst>
    </cacheHierarchy>
    <cacheHierarchy uniqueName="[Measures].[Total Revenue in Equipment]" caption="Total Revenue in Equipment" measure="1" displayFolder="" measureGroup="SalesEquipment 1" count="0"/>
    <cacheHierarchy uniqueName="[Measures].[Total Revenue in Spare Parts]" caption="Total Revenue in Spare Parts" measure="1" displayFolder="" measureGroup="SalesSpareParts 1" count="0"/>
    <cacheHierarchy uniqueName="[Measures].[Total Expense in Equipment]" caption="Total Expense in Equipment" measure="1" displayFolder="" measureGroup="SalesEquipment 1" count="0"/>
    <cacheHierarchy uniqueName="[Measures].[Net Revenue in Equipment]" caption="Net Revenue in Equipment" measure="1" displayFolder="" measureGroup="SalesEquipment 1" count="0" oneField="1">
      <fieldsUsage count="1">
        <fieldUsage x="1"/>
      </fieldsUsage>
    </cacheHierarchy>
    <cacheHierarchy uniqueName="[Measures].[Total Expense in Spare Parts]" caption="Total Expense in Spare Parts" measure="1" displayFolder="" measureGroup="SalesSpareParts 1" count="0"/>
    <cacheHierarchy uniqueName="[Measures].[Net Revenue in Spare Parts]" caption="Net Revenue in Spare Parts" measure="1" displayFolder="" measureGroup="SalesSpareParts 1" count="0" oneField="1">
      <fieldsUsage count="1">
        <fieldUsage x="2"/>
      </fieldsUsage>
    </cacheHierarchy>
    <cacheHierarchy uniqueName="[Measures].[__XL_Count SalesEquipment]" caption="__XL_Count SalesEquipment" measure="1" displayFolder="" measureGroup="SalesEquipment" count="0" hidden="1"/>
    <cacheHierarchy uniqueName="[Measures].[__XL_Count SalesSpareParts]" caption="__XL_Count SalesSpareParts" measure="1" displayFolder="" measureGroup="SalesSpareParts" count="0" hidden="1"/>
    <cacheHierarchy uniqueName="[Measures].[__XL_Count SalesEquipment 1]" caption="__XL_Count SalesEquipment 1" measure="1" displayFolder="" measureGroup="SalesEquipment 1" count="0" hidden="1"/>
    <cacheHierarchy uniqueName="[Measures].[__XL_Count SalesSpareParts 1]" caption="__XL_Count SalesSpareParts 1" measure="1" displayFolder="" measureGroup="SalesSpareParts 1" count="0" hidden="1"/>
    <cacheHierarchy uniqueName="[Measures].[__XL_Count Sales Calendar]" caption="__XL_Count Sales Calendar" measure="1" displayFolder="" measureGroup="Sales Calendar" count="0" hidden="1"/>
    <cacheHierarchy uniqueName="[Measures].[__No measures defined]" caption="__No measures defined" measure="1" displayFolder="" count="0" hidden="1"/>
  </cacheHierarchies>
  <kpis count="0"/>
  <dimensions count="6">
    <dimension measure="1" name="Measures" uniqueName="[Measures]" caption="Measures"/>
    <dimension name="Sales Calendar" uniqueName="[Sales Calendar]" caption="Sales Calendar"/>
    <dimension name="SalesEquipment" uniqueName="[SalesEquipment]" caption="SalesEquipment"/>
    <dimension name="SalesEquipment 1" uniqueName="[SalesEquipment 1]" caption="SalesEquipment 1"/>
    <dimension name="SalesSpareParts" uniqueName="[SalesSpareParts]" caption="SalesSpareParts"/>
    <dimension name="SalesSpareParts 1" uniqueName="[SalesSpareParts 1]" caption="SalesSpareParts 1"/>
  </dimensions>
  <measureGroups count="5">
    <measureGroup name="Sales Calendar" caption="Sales Calendar"/>
    <measureGroup name="SalesEquipment" caption="SalesEquipment"/>
    <measureGroup name="SalesEquipment 1" caption="SalesEquipment 1"/>
    <measureGroup name="SalesSpareParts" caption="SalesSpareParts"/>
    <measureGroup name="SalesSpareParts 1" caption="SalesSpareParts 1"/>
  </measureGroups>
  <maps count="7">
    <map measureGroup="0" dimension="1"/>
    <map measureGroup="1" dimension="2"/>
    <map measureGroup="2" dimension="1"/>
    <map measureGroup="2" dimension="3"/>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nan Gambarov" refreshedDate="45488.026150578706" backgroundQuery="1" createdVersion="8" refreshedVersion="8" minRefreshableVersion="3" recordCount="0" supportSubquery="1" supportAdvancedDrill="1" xr:uid="{D9F35C82-76D5-45A2-83FC-D228D878225D}">
  <cacheSource type="external" connectionId="8"/>
  <cacheFields count="5">
    <cacheField name="[Measures].[Total Revenue in Spare Parts]" caption="Total Revenue in Spare Parts" numFmtId="0" hierarchy="39" level="32767"/>
    <cacheField name="[Sales Calendar].[Month Name].[Month Name]" caption="Month Name" numFmtId="0" hierarchy="3" level="1">
      <sharedItems count="3">
        <s v="Avqust"/>
        <s v="İyul"/>
        <s v="İyun"/>
      </sharedItems>
    </cacheField>
    <cacheField name="[Sales Calendar].[Year].[Year]" caption="Year" numFmtId="0" hierarchy="1" level="1">
      <sharedItems containsSemiMixedTypes="0" containsString="0" containsNumber="1" containsInteger="1" minValue="2023" maxValue="2024" count="2">
        <n v="2023"/>
        <n v="2024"/>
      </sharedItems>
      <extLst>
        <ext xmlns:x15="http://schemas.microsoft.com/office/spreadsheetml/2010/11/main" uri="{4F2E5C28-24EA-4eb8-9CBF-B6C8F9C3D259}">
          <x15:cachedUniqueNames>
            <x15:cachedUniqueName index="0" name="[Sales Calendar].[Year].&amp;[2023]"/>
            <x15:cachedUniqueName index="1" name="[Sales Calendar].[Year].&amp;[2024]"/>
          </x15:cachedUniqueNames>
        </ext>
      </extLst>
    </cacheField>
    <cacheField name="[Measures].[Total Revenue in Equipment]" caption="Total Revenue in Equipment" numFmtId="0" hierarchy="38" level="32767"/>
    <cacheField name="[SalesSpareParts 1].[Ehtiyyat hissələrinin adı].[Ehtiyyat hissələrinin adı]" caption="Ehtiyyat hissələrinin adı" numFmtId="0" hierarchy="33" level="1">
      <sharedItems containsSemiMixedTypes="0" containsNonDate="0" containsString="0"/>
    </cacheField>
  </cacheFields>
  <cacheHierarchies count="50">
    <cacheHierarchy uniqueName="[Sales Calendar].[Sales Date]" caption="Sales Date" attribute="1" time="1" defaultMemberUniqueName="[Sales Calendar].[Sales Date].[All]" allUniqueName="[Sales Calendar].[Sales Date].[All]" dimensionUniqueName="[Sales Calendar]" displayFolder="" count="2" memberValueDatatype="7" unbalanced="0"/>
    <cacheHierarchy uniqueName="[Sales Calendar].[Year]" caption="Year" attribute="1" defaultMemberUniqueName="[Sales Calendar].[Year].[All]" allUniqueName="[Sales Calendar].[Year].[All]" dimensionUniqueName="[Sales Calendar]" displayFolder="" count="2" memberValueDatatype="20" unbalanced="0">
      <fieldsUsage count="2">
        <fieldUsage x="-1"/>
        <fieldUsage x="2"/>
      </fieldsUsage>
    </cacheHierarchy>
    <cacheHierarchy uniqueName="[Sales Calendar].[Month]" caption="Month" attribute="1" defaultMemberUniqueName="[Sales Calendar].[Month].[All]" allUniqueName="[Sales Calendar].[Month].[All]" dimensionUniqueName="[Sales Calendar]" displayFolder="" count="0" memberValueDatatype="20" unbalanced="0"/>
    <cacheHierarchy uniqueName="[Sales Calendar].[Month Name]" caption="Month Name" attribute="1" defaultMemberUniqueName="[Sales Calendar].[Month Name].[All]" allUniqueName="[Sales Calendar].[Month Name].[All]" dimensionUniqueName="[Sales Calendar]" displayFolder="" count="2" memberValueDatatype="130" unbalanced="0">
      <fieldsUsage count="2">
        <fieldUsage x="-1"/>
        <fieldUsage x="1"/>
      </fieldsUsage>
    </cacheHierarchy>
    <cacheHierarchy uniqueName="[SalesEquipment].[Sales ID]" caption="Sales ID" attribute="1" defaultMemberUniqueName="[SalesEquipment].[Sales ID].[All]" allUniqueName="[SalesEquipment].[Sales ID].[All]" dimensionUniqueName="[SalesEquipment]" displayFolder="" count="0" memberValueDatatype="130" unbalanced="0"/>
    <cacheHierarchy uniqueName="[SalesEquipment].[Sales Date]" caption="Sales Date" attribute="1" time="1" defaultMemberUniqueName="[SalesEquipment].[Sales Date].[All]" allUniqueName="[SalesEquipment].[Sales Date].[All]" dimensionUniqueName="[SalesEquipment]" displayFolder="" count="0" memberValueDatatype="7" unbalanced="0"/>
    <cacheHierarchy uniqueName="[SalesEquipment].[Equipment ID]" caption="Equipment ID" attribute="1" defaultMemberUniqueName="[SalesEquipment].[Equipment ID].[All]" allUniqueName="[SalesEquipment].[Equipment ID].[All]" dimensionUniqueName="[SalesEquipment]" displayFolder="" count="0" memberValueDatatype="130" unbalanced="0"/>
    <cacheHierarchy uniqueName="[SalesEquipment].[Customer ID]" caption="Customer ID" attribute="1" defaultMemberUniqueName="[SalesEquipment].[Customer ID].[All]" allUniqueName="[SalesEquipment].[Customer ID].[All]" dimensionUniqueName="[SalesEquipment]" displayFolder="" count="0" memberValueDatatype="130" unbalanced="0"/>
    <cacheHierarchy uniqueName="[SalesEquipment].[Sales Price]" caption="Sales Price" attribute="1" defaultMemberUniqueName="[SalesEquipment].[Sales Price].[All]" allUniqueName="[SalesEquipment].[Sales Price].[All]" dimensionUniqueName="[SalesEquipment]" displayFolder="" count="0" memberValueDatatype="20" unbalanced="0"/>
    <cacheHierarchy uniqueName="[SalesEquipment].[Quantity]" caption="Quantity" attribute="1" defaultMemberUniqueName="[SalesEquipment].[Quantity].[All]" allUniqueName="[SalesEquipment].[Quantity].[All]" dimensionUniqueName="[SalesEquipment]" displayFolder="" count="0" memberValueDatatype="20" unbalanced="0"/>
    <cacheHierarchy uniqueName="[SalesEquipment].[Last Date of Use]" caption="Last Date of Use" attribute="1" time="1" defaultMemberUniqueName="[SalesEquipment].[Last Date of Use].[All]" allUniqueName="[SalesEquipment].[Last Date of Use].[All]" dimensionUniqueName="[SalesEquipment]" displayFolder="" count="0" memberValueDatatype="7" unbalanced="0"/>
    <cacheHierarchy uniqueName="[SalesEquipment 1].[Sales ID]" caption="Sales ID" attribute="1" defaultMemberUniqueName="[SalesEquipment 1].[Sales ID].[All]" allUniqueName="[SalesEquipment 1].[Sales ID].[All]" dimensionUniqueName="[SalesEquipment 1]" displayFolder="" count="0" memberValueDatatype="130" unbalanced="0"/>
    <cacheHierarchy uniqueName="[SalesEquipment 1].[Sales Date]" caption="Sales Date" attribute="1" time="1" defaultMemberUniqueName="[SalesEquipment 1].[Sales Date].[All]" allUniqueName="[SalesEquipment 1].[Sales Date].[All]" dimensionUniqueName="[SalesEquipment 1]" displayFolder="" count="0" memberValueDatatype="7" unbalanced="0"/>
    <cacheHierarchy uniqueName="[SalesEquipment 1].[Equipment ID]" caption="Equipment ID" attribute="1" defaultMemberUniqueName="[SalesEquipment 1].[Equipment ID].[All]" allUniqueName="[SalesEquipment 1].[Equipment ID].[All]" dimensionUniqueName="[SalesEquipment 1]" displayFolder="" count="0" memberValueDatatype="130" unbalanced="0"/>
    <cacheHierarchy uniqueName="[SalesEquipment 1].[Customer ID]" caption="Customer ID" attribute="1" defaultMemberUniqueName="[SalesEquipment 1].[Customer ID].[All]" allUniqueName="[SalesEquipment 1].[Customer ID].[All]" dimensionUniqueName="[SalesEquipment 1]" displayFolder="" count="0" memberValueDatatype="130" unbalanced="0"/>
    <cacheHierarchy uniqueName="[SalesEquipment 1].[Sales Price]" caption="Sales Price" attribute="1" defaultMemberUniqueName="[SalesEquipment 1].[Sales Price].[All]" allUniqueName="[SalesEquipment 1].[Sales Price].[All]" dimensionUniqueName="[SalesEquipment 1]" displayFolder="" count="0" memberValueDatatype="20" unbalanced="0"/>
    <cacheHierarchy uniqueName="[SalesEquipment 1].[Quantity]" caption="Quantity" attribute="1" defaultMemberUniqueName="[SalesEquipment 1].[Quantity].[All]" allUniqueName="[SalesEquipment 1].[Quantity].[All]" dimensionUniqueName="[SalesEquipment 1]" displayFolder="" count="0" memberValueDatatype="20" unbalanced="0"/>
    <cacheHierarchy uniqueName="[SalesEquipment 1].[Last Date of Use]" caption="Last Date of Use" attribute="1" time="1" defaultMemberUniqueName="[SalesEquipment 1].[Last Date of Use].[All]" allUniqueName="[SalesEquipment 1].[Last Date of Use].[All]" dimensionUniqueName="[SalesEquipment 1]" displayFolder="" count="0" memberValueDatatype="7" unbalanced="0"/>
    <cacheHierarchy uniqueName="[SalesEquipment 1].[Alış dəyəri]" caption="Alış dəyəri" attribute="1" defaultMemberUniqueName="[SalesEquipment 1].[Alış dəyəri].[All]" allUniqueName="[SalesEquipment 1].[Alış dəyəri].[All]" dimensionUniqueName="[SalesEquipment 1]" displayFolder="" count="0" memberValueDatatype="5" unbalanced="0"/>
    <cacheHierarchy uniqueName="[SalesEquipment 1].[Avadanlığın adı]" caption="Avadanlığın adı" attribute="1" defaultMemberUniqueName="[SalesEquipment 1].[Avadanlığın adı].[All]" allUniqueName="[SalesEquipment 1].[Avadanlığın adı].[All]" dimensionUniqueName="[SalesEquipment 1]" displayFolder="" count="2" memberValueDatatype="130" unbalanced="0"/>
    <cacheHierarchy uniqueName="[SalesSpareParts].[Sales ID]" caption="Sales ID" attribute="1" defaultMemberUniqueName="[SalesSpareParts].[Sales ID].[All]" allUniqueName="[SalesSpareParts].[Sales ID].[All]" dimensionUniqueName="[SalesSpareParts]" displayFolder="" count="0" memberValueDatatype="130" unbalanced="0"/>
    <cacheHierarchy uniqueName="[SalesSpareParts].[Sales Date]" caption="Sales Date" attribute="1" time="1" defaultMemberUniqueName="[SalesSpareParts].[Sales Date].[All]" allUniqueName="[SalesSpareParts].[Sales Date].[All]" dimensionUniqueName="[SalesSpareParts]" displayFolder="" count="0" memberValueDatatype="7" unbalanced="0"/>
    <cacheHierarchy uniqueName="[SalesSpareParts].[Spare Part ID]" caption="Spare Part ID" attribute="1" defaultMemberUniqueName="[SalesSpareParts].[Spare Part ID].[All]" allUniqueName="[SalesSpareParts].[Spare Part ID].[All]" dimensionUniqueName="[SalesSpareParts]" displayFolder="" count="0" memberValueDatatype="130" unbalanced="0"/>
    <cacheHierarchy uniqueName="[SalesSpareParts].[Customer ID]" caption="Customer ID" attribute="1" defaultMemberUniqueName="[SalesSpareParts].[Customer ID].[All]" allUniqueName="[SalesSpareParts].[Customer ID].[All]" dimensionUniqueName="[SalesSpareParts]" displayFolder="" count="0" memberValueDatatype="130" unbalanced="0"/>
    <cacheHierarchy uniqueName="[SalesSpareParts].[Quantity]" caption="Quantity" attribute="1" defaultMemberUniqueName="[SalesSpareParts].[Quantity].[All]" allUniqueName="[SalesSpareParts].[Quantity].[All]" dimensionUniqueName="[SalesSpareParts]" displayFolder="" count="0" memberValueDatatype="20" unbalanced="0"/>
    <cacheHierarchy uniqueName="[SalesSpareParts].[Sales Price]" caption="Sales Price" attribute="1" defaultMemberUniqueName="[SalesSpareParts].[Sales Price].[All]" allUniqueName="[SalesSpareParts].[Sales Price].[All]" dimensionUniqueName="[SalesSpareParts]" displayFolder="" count="0" memberValueDatatype="20" unbalanced="0"/>
    <cacheHierarchy uniqueName="[SalesSpareParts 1].[Sales ID]" caption="Sales ID" attribute="1" defaultMemberUniqueName="[SalesSpareParts 1].[Sales ID].[All]" allUniqueName="[SalesSpareParts 1].[Sales ID].[All]" dimensionUniqueName="[SalesSpareParts 1]" displayFolder="" count="0" memberValueDatatype="130" unbalanced="0"/>
    <cacheHierarchy uniqueName="[SalesSpareParts 1].[Sales Date]" caption="Sales Date" attribute="1" time="1" defaultMemberUniqueName="[SalesSpareParts 1].[Sales Date].[All]" allUniqueName="[SalesSpareParts 1].[Sales Date].[All]" dimensionUniqueName="[SalesSpareParts 1]" displayFolder="" count="0" memberValueDatatype="7" unbalanced="0"/>
    <cacheHierarchy uniqueName="[SalesSpareParts 1].[Spare Part ID]" caption="Spare Part ID" attribute="1" defaultMemberUniqueName="[SalesSpareParts 1].[Spare Part ID].[All]" allUniqueName="[SalesSpareParts 1].[Spare Part ID].[All]" dimensionUniqueName="[SalesSpareParts 1]" displayFolder="" count="0" memberValueDatatype="130" unbalanced="0"/>
    <cacheHierarchy uniqueName="[SalesSpareParts 1].[Customer ID]" caption="Customer ID" attribute="1" defaultMemberUniqueName="[SalesSpareParts 1].[Customer ID].[All]" allUniqueName="[SalesSpareParts 1].[Customer ID].[All]" dimensionUniqueName="[SalesSpareParts 1]" displayFolder="" count="0" memberValueDatatype="130" unbalanced="0"/>
    <cacheHierarchy uniqueName="[SalesSpareParts 1].[Quantity]" caption="Quantity" attribute="1" defaultMemberUniqueName="[SalesSpareParts 1].[Quantity].[All]" allUniqueName="[SalesSpareParts 1].[Quantity].[All]" dimensionUniqueName="[SalesSpareParts 1]" displayFolder="" count="0" memberValueDatatype="20" unbalanced="0"/>
    <cacheHierarchy uniqueName="[SalesSpareParts 1].[Sales Price]" caption="Sales Price" attribute="1" defaultMemberUniqueName="[SalesSpareParts 1].[Sales Price].[All]" allUniqueName="[SalesSpareParts 1].[Sales Price].[All]" dimensionUniqueName="[SalesSpareParts 1]" displayFolder="" count="0" memberValueDatatype="20" unbalanced="0"/>
    <cacheHierarchy uniqueName="[SalesSpareParts 1].[Alış dəyəri]" caption="Alış dəyəri" attribute="1" defaultMemberUniqueName="[SalesSpareParts 1].[Alış dəyəri].[All]" allUniqueName="[SalesSpareParts 1].[Alış dəyəri].[All]" dimensionUniqueName="[SalesSpareParts 1]" displayFolder="" count="0" memberValueDatatype="5" unbalanced="0"/>
    <cacheHierarchy uniqueName="[SalesSpareParts 1].[Ehtiyyat hissələrinin adı]" caption="Ehtiyyat hissələrinin adı" attribute="1" defaultMemberUniqueName="[SalesSpareParts 1].[Ehtiyyat hissələrinin adı].[All]" allUniqueName="[SalesSpareParts 1].[Ehtiyyat hissələrinin adı].[All]" dimensionUniqueName="[SalesSpareParts 1]" displayFolder="" count="2" memberValueDatatype="130" unbalanced="0">
      <fieldsUsage count="2">
        <fieldUsage x="-1"/>
        <fieldUsage x="4"/>
      </fieldsUsage>
    </cacheHierarchy>
    <cacheHierarchy uniqueName="[Measures].[Sum of Quantity]" caption="Sum of Quantity" measure="1" displayFolder="" measureGroup="SalesEquipment" count="0">
      <extLst>
        <ext xmlns:x15="http://schemas.microsoft.com/office/spreadsheetml/2010/11/main" uri="{B97F6D7D-B522-45F9-BDA1-12C45D357490}">
          <x15:cacheHierarchy aggregatedColumn="9"/>
        </ext>
      </extLst>
    </cacheHierarchy>
    <cacheHierarchy uniqueName="[Measures].[Sum of Quantity 2]" caption="Sum of Quantity 2" measure="1" displayFolder="" measureGroup="SalesEquipment 1" count="0">
      <extLst>
        <ext xmlns:x15="http://schemas.microsoft.com/office/spreadsheetml/2010/11/main" uri="{B97F6D7D-B522-45F9-BDA1-12C45D357490}">
          <x15:cacheHierarchy aggregatedColumn="16"/>
        </ext>
      </extLst>
    </cacheHierarchy>
    <cacheHierarchy uniqueName="[Measures].[Sum of Quantity 3]" caption="Sum of Quantity 3" measure="1" displayFolder="" measureGroup="SalesSpareParts 1" count="0">
      <extLst>
        <ext xmlns:x15="http://schemas.microsoft.com/office/spreadsheetml/2010/11/main" uri="{B97F6D7D-B522-45F9-BDA1-12C45D357490}">
          <x15:cacheHierarchy aggregatedColumn="30"/>
        </ext>
      </extLst>
    </cacheHierarchy>
    <cacheHierarchy uniqueName="[Measures].[Count of Last Date of Use]" caption="Count of Last Date of Use" measure="1" displayFolder="" measureGroup="SalesEquipment 1" count="0">
      <extLst>
        <ext xmlns:x15="http://schemas.microsoft.com/office/spreadsheetml/2010/11/main" uri="{B97F6D7D-B522-45F9-BDA1-12C45D357490}">
          <x15:cacheHierarchy aggregatedColumn="17"/>
        </ext>
      </extLst>
    </cacheHierarchy>
    <cacheHierarchy uniqueName="[Measures].[Total Revenue in Equipment]" caption="Total Revenue in Equipment" measure="1" displayFolder="" measureGroup="SalesEquipment 1" count="0" oneField="1">
      <fieldsUsage count="1">
        <fieldUsage x="3"/>
      </fieldsUsage>
    </cacheHierarchy>
    <cacheHierarchy uniqueName="[Measures].[Total Revenue in Spare Parts]" caption="Total Revenue in Spare Parts" measure="1" displayFolder="" measureGroup="SalesSpareParts 1" count="0" oneField="1">
      <fieldsUsage count="1">
        <fieldUsage x="0"/>
      </fieldsUsage>
    </cacheHierarchy>
    <cacheHierarchy uniqueName="[Measures].[Total Expense in Equipment]" caption="Total Expense in Equipment" measure="1" displayFolder="" measureGroup="SalesEquipment 1" count="0"/>
    <cacheHierarchy uniqueName="[Measures].[Net Revenue in Equipment]" caption="Net Revenue in Equipment" measure="1" displayFolder="" measureGroup="SalesEquipment 1" count="0"/>
    <cacheHierarchy uniqueName="[Measures].[Total Expense in Spare Parts]" caption="Total Expense in Spare Parts" measure="1" displayFolder="" measureGroup="SalesSpareParts 1" count="0"/>
    <cacheHierarchy uniqueName="[Measures].[Net Revenue in Spare Parts]" caption="Net Revenue in Spare Parts" measure="1" displayFolder="" measureGroup="SalesSpareParts 1" count="0"/>
    <cacheHierarchy uniqueName="[Measures].[__XL_Count SalesEquipment]" caption="__XL_Count SalesEquipment" measure="1" displayFolder="" measureGroup="SalesEquipment" count="0" hidden="1"/>
    <cacheHierarchy uniqueName="[Measures].[__XL_Count SalesSpareParts]" caption="__XL_Count SalesSpareParts" measure="1" displayFolder="" measureGroup="SalesSpareParts" count="0" hidden="1"/>
    <cacheHierarchy uniqueName="[Measures].[__XL_Count SalesEquipment 1]" caption="__XL_Count SalesEquipment 1" measure="1" displayFolder="" measureGroup="SalesEquipment 1" count="0" hidden="1"/>
    <cacheHierarchy uniqueName="[Measures].[__XL_Count SalesSpareParts 1]" caption="__XL_Count SalesSpareParts 1" measure="1" displayFolder="" measureGroup="SalesSpareParts 1" count="0" hidden="1"/>
    <cacheHierarchy uniqueName="[Measures].[__XL_Count Sales Calendar]" caption="__XL_Count Sales Calendar" measure="1" displayFolder="" measureGroup="Sales Calendar" count="0" hidden="1"/>
    <cacheHierarchy uniqueName="[Measures].[__No measures defined]" caption="__No measures defined" measure="1" displayFolder="" count="0" hidden="1"/>
  </cacheHierarchies>
  <kpis count="0"/>
  <dimensions count="6">
    <dimension measure="1" name="Measures" uniqueName="[Measures]" caption="Measures"/>
    <dimension name="Sales Calendar" uniqueName="[Sales Calendar]" caption="Sales Calendar"/>
    <dimension name="SalesEquipment" uniqueName="[SalesEquipment]" caption="SalesEquipment"/>
    <dimension name="SalesEquipment 1" uniqueName="[SalesEquipment 1]" caption="SalesEquipment 1"/>
    <dimension name="SalesSpareParts" uniqueName="[SalesSpareParts]" caption="SalesSpareParts"/>
    <dimension name="SalesSpareParts 1" uniqueName="[SalesSpareParts 1]" caption="SalesSpareParts 1"/>
  </dimensions>
  <measureGroups count="5">
    <measureGroup name="Sales Calendar" caption="Sales Calendar"/>
    <measureGroup name="SalesEquipment" caption="SalesEquipment"/>
    <measureGroup name="SalesEquipment 1" caption="SalesEquipment 1"/>
    <measureGroup name="SalesSpareParts" caption="SalesSpareParts"/>
    <measureGroup name="SalesSpareParts 1" caption="SalesSpareParts 1"/>
  </measureGroups>
  <maps count="7">
    <map measureGroup="0" dimension="1"/>
    <map measureGroup="1" dimension="2"/>
    <map measureGroup="2" dimension="1"/>
    <map measureGroup="2" dimension="3"/>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nan Gambarov" refreshedDate="45488.026150925929" backgroundQuery="1" createdVersion="8" refreshedVersion="8" minRefreshableVersion="3" recordCount="0" supportSubquery="1" supportAdvancedDrill="1" xr:uid="{E50018A9-0854-4960-897B-233BAE1C8E0E}">
  <cacheSource type="external" connectionId="8"/>
  <cacheFields count="5">
    <cacheField name="[Measures].[Sum of Quantity 2]" caption="Sum of Quantity 2" numFmtId="0" hierarchy="35" level="32767"/>
    <cacheField name="[Measures].[Sum of Quantity 3]" caption="Sum of Quantity 3" numFmtId="0" hierarchy="36" level="32767"/>
    <cacheField name="[Sales Calendar].[Month Name].[Month Name]" caption="Month Name" numFmtId="0" hierarchy="3" level="1">
      <sharedItems count="3">
        <s v="Avqust"/>
        <s v="İyul"/>
        <s v="İyun"/>
      </sharedItems>
    </cacheField>
    <cacheField name="[Sales Calendar].[Year].[Year]" caption="Year" numFmtId="0" hierarchy="1" level="1">
      <sharedItems containsSemiMixedTypes="0" containsString="0" containsNumber="1" containsInteger="1" minValue="2023" maxValue="2024" count="2">
        <n v="2023"/>
        <n v="2024"/>
      </sharedItems>
      <extLst>
        <ext xmlns:x15="http://schemas.microsoft.com/office/spreadsheetml/2010/11/main" uri="{4F2E5C28-24EA-4eb8-9CBF-B6C8F9C3D259}">
          <x15:cachedUniqueNames>
            <x15:cachedUniqueName index="0" name="[Sales Calendar].[Year].&amp;[2023]"/>
            <x15:cachedUniqueName index="1" name="[Sales Calendar].[Year].&amp;[2024]"/>
          </x15:cachedUniqueNames>
        </ext>
      </extLst>
    </cacheField>
    <cacheField name="[SalesSpareParts 1].[Ehtiyyat hissələrinin adı].[Ehtiyyat hissələrinin adı]" caption="Ehtiyyat hissələrinin adı" numFmtId="0" hierarchy="33" level="1">
      <sharedItems containsSemiMixedTypes="0" containsNonDate="0" containsString="0"/>
    </cacheField>
  </cacheFields>
  <cacheHierarchies count="50">
    <cacheHierarchy uniqueName="[Sales Calendar].[Sales Date]" caption="Sales Date" attribute="1" time="1" defaultMemberUniqueName="[Sales Calendar].[Sales Date].[All]" allUniqueName="[Sales Calendar].[Sales Date].[All]" dimensionUniqueName="[Sales Calendar]" displayFolder="" count="2" memberValueDatatype="7" unbalanced="0"/>
    <cacheHierarchy uniqueName="[Sales Calendar].[Year]" caption="Year" attribute="1" defaultMemberUniqueName="[Sales Calendar].[Year].[All]" allUniqueName="[Sales Calendar].[Year].[All]" dimensionUniqueName="[Sales Calendar]" displayFolder="" count="2" memberValueDatatype="20" unbalanced="0">
      <fieldsUsage count="2">
        <fieldUsage x="-1"/>
        <fieldUsage x="3"/>
      </fieldsUsage>
    </cacheHierarchy>
    <cacheHierarchy uniqueName="[Sales Calendar].[Month]" caption="Month" attribute="1" defaultMemberUniqueName="[Sales Calendar].[Month].[All]" allUniqueName="[Sales Calendar].[Month].[All]" dimensionUniqueName="[Sales Calendar]" displayFolder="" count="0" memberValueDatatype="20" unbalanced="0"/>
    <cacheHierarchy uniqueName="[Sales Calendar].[Month Name]" caption="Month Name" attribute="1" defaultMemberUniqueName="[Sales Calendar].[Month Name].[All]" allUniqueName="[Sales Calendar].[Month Name].[All]" dimensionUniqueName="[Sales Calendar]" displayFolder="" count="2" memberValueDatatype="130" unbalanced="0">
      <fieldsUsage count="2">
        <fieldUsage x="-1"/>
        <fieldUsage x="2"/>
      </fieldsUsage>
    </cacheHierarchy>
    <cacheHierarchy uniqueName="[SalesEquipment].[Sales ID]" caption="Sales ID" attribute="1" defaultMemberUniqueName="[SalesEquipment].[Sales ID].[All]" allUniqueName="[SalesEquipment].[Sales ID].[All]" dimensionUniqueName="[SalesEquipment]" displayFolder="" count="0" memberValueDatatype="130" unbalanced="0"/>
    <cacheHierarchy uniqueName="[SalesEquipment].[Sales Date]" caption="Sales Date" attribute="1" time="1" defaultMemberUniqueName="[SalesEquipment].[Sales Date].[All]" allUniqueName="[SalesEquipment].[Sales Date].[All]" dimensionUniqueName="[SalesEquipment]" displayFolder="" count="0" memberValueDatatype="7" unbalanced="0"/>
    <cacheHierarchy uniqueName="[SalesEquipment].[Equipment ID]" caption="Equipment ID" attribute="1" defaultMemberUniqueName="[SalesEquipment].[Equipment ID].[All]" allUniqueName="[SalesEquipment].[Equipment ID].[All]" dimensionUniqueName="[SalesEquipment]" displayFolder="" count="0" memberValueDatatype="130" unbalanced="0"/>
    <cacheHierarchy uniqueName="[SalesEquipment].[Customer ID]" caption="Customer ID" attribute="1" defaultMemberUniqueName="[SalesEquipment].[Customer ID].[All]" allUniqueName="[SalesEquipment].[Customer ID].[All]" dimensionUniqueName="[SalesEquipment]" displayFolder="" count="0" memberValueDatatype="130" unbalanced="0"/>
    <cacheHierarchy uniqueName="[SalesEquipment].[Sales Price]" caption="Sales Price" attribute="1" defaultMemberUniqueName="[SalesEquipment].[Sales Price].[All]" allUniqueName="[SalesEquipment].[Sales Price].[All]" dimensionUniqueName="[SalesEquipment]" displayFolder="" count="0" memberValueDatatype="20" unbalanced="0"/>
    <cacheHierarchy uniqueName="[SalesEquipment].[Quantity]" caption="Quantity" attribute="1" defaultMemberUniqueName="[SalesEquipment].[Quantity].[All]" allUniqueName="[SalesEquipment].[Quantity].[All]" dimensionUniqueName="[SalesEquipment]" displayFolder="" count="0" memberValueDatatype="20" unbalanced="0"/>
    <cacheHierarchy uniqueName="[SalesEquipment].[Last Date of Use]" caption="Last Date of Use" attribute="1" time="1" defaultMemberUniqueName="[SalesEquipment].[Last Date of Use].[All]" allUniqueName="[SalesEquipment].[Last Date of Use].[All]" dimensionUniqueName="[SalesEquipment]" displayFolder="" count="0" memberValueDatatype="7" unbalanced="0"/>
    <cacheHierarchy uniqueName="[SalesEquipment 1].[Sales ID]" caption="Sales ID" attribute="1" defaultMemberUniqueName="[SalesEquipment 1].[Sales ID].[All]" allUniqueName="[SalesEquipment 1].[Sales ID].[All]" dimensionUniqueName="[SalesEquipment 1]" displayFolder="" count="0" memberValueDatatype="130" unbalanced="0"/>
    <cacheHierarchy uniqueName="[SalesEquipment 1].[Sales Date]" caption="Sales Date" attribute="1" time="1" defaultMemberUniqueName="[SalesEquipment 1].[Sales Date].[All]" allUniqueName="[SalesEquipment 1].[Sales Date].[All]" dimensionUniqueName="[SalesEquipment 1]" displayFolder="" count="0" memberValueDatatype="7" unbalanced="0"/>
    <cacheHierarchy uniqueName="[SalesEquipment 1].[Equipment ID]" caption="Equipment ID" attribute="1" defaultMemberUniqueName="[SalesEquipment 1].[Equipment ID].[All]" allUniqueName="[SalesEquipment 1].[Equipment ID].[All]" dimensionUniqueName="[SalesEquipment 1]" displayFolder="" count="0" memberValueDatatype="130" unbalanced="0"/>
    <cacheHierarchy uniqueName="[SalesEquipment 1].[Customer ID]" caption="Customer ID" attribute="1" defaultMemberUniqueName="[SalesEquipment 1].[Customer ID].[All]" allUniqueName="[SalesEquipment 1].[Customer ID].[All]" dimensionUniqueName="[SalesEquipment 1]" displayFolder="" count="0" memberValueDatatype="130" unbalanced="0"/>
    <cacheHierarchy uniqueName="[SalesEquipment 1].[Sales Price]" caption="Sales Price" attribute="1" defaultMemberUniqueName="[SalesEquipment 1].[Sales Price].[All]" allUniqueName="[SalesEquipment 1].[Sales Price].[All]" dimensionUniqueName="[SalesEquipment 1]" displayFolder="" count="0" memberValueDatatype="20" unbalanced="0"/>
    <cacheHierarchy uniqueName="[SalesEquipment 1].[Quantity]" caption="Quantity" attribute="1" defaultMemberUniqueName="[SalesEquipment 1].[Quantity].[All]" allUniqueName="[SalesEquipment 1].[Quantity].[All]" dimensionUniqueName="[SalesEquipment 1]" displayFolder="" count="0" memberValueDatatype="20" unbalanced="0"/>
    <cacheHierarchy uniqueName="[SalesEquipment 1].[Last Date of Use]" caption="Last Date of Use" attribute="1" time="1" defaultMemberUniqueName="[SalesEquipment 1].[Last Date of Use].[All]" allUniqueName="[SalesEquipment 1].[Last Date of Use].[All]" dimensionUniqueName="[SalesEquipment 1]" displayFolder="" count="0" memberValueDatatype="7" unbalanced="0"/>
    <cacheHierarchy uniqueName="[SalesEquipment 1].[Alış dəyəri]" caption="Alış dəyəri" attribute="1" defaultMemberUniqueName="[SalesEquipment 1].[Alış dəyəri].[All]" allUniqueName="[SalesEquipment 1].[Alış dəyəri].[All]" dimensionUniqueName="[SalesEquipment 1]" displayFolder="" count="0" memberValueDatatype="5" unbalanced="0"/>
    <cacheHierarchy uniqueName="[SalesEquipment 1].[Avadanlığın adı]" caption="Avadanlığın adı" attribute="1" defaultMemberUniqueName="[SalesEquipment 1].[Avadanlığın adı].[All]" allUniqueName="[SalesEquipment 1].[Avadanlığın adı].[All]" dimensionUniqueName="[SalesEquipment 1]" displayFolder="" count="2" memberValueDatatype="130" unbalanced="0"/>
    <cacheHierarchy uniqueName="[SalesSpareParts].[Sales ID]" caption="Sales ID" attribute="1" defaultMemberUniqueName="[SalesSpareParts].[Sales ID].[All]" allUniqueName="[SalesSpareParts].[Sales ID].[All]" dimensionUniqueName="[SalesSpareParts]" displayFolder="" count="0" memberValueDatatype="130" unbalanced="0"/>
    <cacheHierarchy uniqueName="[SalesSpareParts].[Sales Date]" caption="Sales Date" attribute="1" time="1" defaultMemberUniqueName="[SalesSpareParts].[Sales Date].[All]" allUniqueName="[SalesSpareParts].[Sales Date].[All]" dimensionUniqueName="[SalesSpareParts]" displayFolder="" count="0" memberValueDatatype="7" unbalanced="0"/>
    <cacheHierarchy uniqueName="[SalesSpareParts].[Spare Part ID]" caption="Spare Part ID" attribute="1" defaultMemberUniqueName="[SalesSpareParts].[Spare Part ID].[All]" allUniqueName="[SalesSpareParts].[Spare Part ID].[All]" dimensionUniqueName="[SalesSpareParts]" displayFolder="" count="0" memberValueDatatype="130" unbalanced="0"/>
    <cacheHierarchy uniqueName="[SalesSpareParts].[Customer ID]" caption="Customer ID" attribute="1" defaultMemberUniqueName="[SalesSpareParts].[Customer ID].[All]" allUniqueName="[SalesSpareParts].[Customer ID].[All]" dimensionUniqueName="[SalesSpareParts]" displayFolder="" count="0" memberValueDatatype="130" unbalanced="0"/>
    <cacheHierarchy uniqueName="[SalesSpareParts].[Quantity]" caption="Quantity" attribute="1" defaultMemberUniqueName="[SalesSpareParts].[Quantity].[All]" allUniqueName="[SalesSpareParts].[Quantity].[All]" dimensionUniqueName="[SalesSpareParts]" displayFolder="" count="0" memberValueDatatype="20" unbalanced="0"/>
    <cacheHierarchy uniqueName="[SalesSpareParts].[Sales Price]" caption="Sales Price" attribute="1" defaultMemberUniqueName="[SalesSpareParts].[Sales Price].[All]" allUniqueName="[SalesSpareParts].[Sales Price].[All]" dimensionUniqueName="[SalesSpareParts]" displayFolder="" count="0" memberValueDatatype="20" unbalanced="0"/>
    <cacheHierarchy uniqueName="[SalesSpareParts 1].[Sales ID]" caption="Sales ID" attribute="1" defaultMemberUniqueName="[SalesSpareParts 1].[Sales ID].[All]" allUniqueName="[SalesSpareParts 1].[Sales ID].[All]" dimensionUniqueName="[SalesSpareParts 1]" displayFolder="" count="0" memberValueDatatype="130" unbalanced="0"/>
    <cacheHierarchy uniqueName="[SalesSpareParts 1].[Sales Date]" caption="Sales Date" attribute="1" time="1" defaultMemberUniqueName="[SalesSpareParts 1].[Sales Date].[All]" allUniqueName="[SalesSpareParts 1].[Sales Date].[All]" dimensionUniqueName="[SalesSpareParts 1]" displayFolder="" count="0" memberValueDatatype="7" unbalanced="0"/>
    <cacheHierarchy uniqueName="[SalesSpareParts 1].[Spare Part ID]" caption="Spare Part ID" attribute="1" defaultMemberUniqueName="[SalesSpareParts 1].[Spare Part ID].[All]" allUniqueName="[SalesSpareParts 1].[Spare Part ID].[All]" dimensionUniqueName="[SalesSpareParts 1]" displayFolder="" count="0" memberValueDatatype="130" unbalanced="0"/>
    <cacheHierarchy uniqueName="[SalesSpareParts 1].[Customer ID]" caption="Customer ID" attribute="1" defaultMemberUniqueName="[SalesSpareParts 1].[Customer ID].[All]" allUniqueName="[SalesSpareParts 1].[Customer ID].[All]" dimensionUniqueName="[SalesSpareParts 1]" displayFolder="" count="0" memberValueDatatype="130" unbalanced="0"/>
    <cacheHierarchy uniqueName="[SalesSpareParts 1].[Quantity]" caption="Quantity" attribute="1" defaultMemberUniqueName="[SalesSpareParts 1].[Quantity].[All]" allUniqueName="[SalesSpareParts 1].[Quantity].[All]" dimensionUniqueName="[SalesSpareParts 1]" displayFolder="" count="0" memberValueDatatype="20" unbalanced="0"/>
    <cacheHierarchy uniqueName="[SalesSpareParts 1].[Sales Price]" caption="Sales Price" attribute="1" defaultMemberUniqueName="[SalesSpareParts 1].[Sales Price].[All]" allUniqueName="[SalesSpareParts 1].[Sales Price].[All]" dimensionUniqueName="[SalesSpareParts 1]" displayFolder="" count="0" memberValueDatatype="20" unbalanced="0"/>
    <cacheHierarchy uniqueName="[SalesSpareParts 1].[Alış dəyəri]" caption="Alış dəyəri" attribute="1" defaultMemberUniqueName="[SalesSpareParts 1].[Alış dəyəri].[All]" allUniqueName="[SalesSpareParts 1].[Alış dəyəri].[All]" dimensionUniqueName="[SalesSpareParts 1]" displayFolder="" count="0" memberValueDatatype="5" unbalanced="0"/>
    <cacheHierarchy uniqueName="[SalesSpareParts 1].[Ehtiyyat hissələrinin adı]" caption="Ehtiyyat hissələrinin adı" attribute="1" defaultMemberUniqueName="[SalesSpareParts 1].[Ehtiyyat hissələrinin adı].[All]" allUniqueName="[SalesSpareParts 1].[Ehtiyyat hissələrinin adı].[All]" dimensionUniqueName="[SalesSpareParts 1]" displayFolder="" count="2" memberValueDatatype="130" unbalanced="0">
      <fieldsUsage count="2">
        <fieldUsage x="-1"/>
        <fieldUsage x="4"/>
      </fieldsUsage>
    </cacheHierarchy>
    <cacheHierarchy uniqueName="[Measures].[Sum of Quantity]" caption="Sum of Quantity" measure="1" displayFolder="" measureGroup="SalesEquipment" count="0">
      <extLst>
        <ext xmlns:x15="http://schemas.microsoft.com/office/spreadsheetml/2010/11/main" uri="{B97F6D7D-B522-45F9-BDA1-12C45D357490}">
          <x15:cacheHierarchy aggregatedColumn="9"/>
        </ext>
      </extLst>
    </cacheHierarchy>
    <cacheHierarchy uniqueName="[Measures].[Sum of Quantity 2]" caption="Sum of Quantity 2" measure="1" displayFolder="" measureGroup="SalesEquipment 1" count="0" oneField="1">
      <fieldsUsage count="1">
        <fieldUsage x="0"/>
      </fieldsUsage>
      <extLst>
        <ext xmlns:x15="http://schemas.microsoft.com/office/spreadsheetml/2010/11/main" uri="{B97F6D7D-B522-45F9-BDA1-12C45D357490}">
          <x15:cacheHierarchy aggregatedColumn="16"/>
        </ext>
      </extLst>
    </cacheHierarchy>
    <cacheHierarchy uniqueName="[Measures].[Sum of Quantity 3]" caption="Sum of Quantity 3" measure="1" displayFolder="" measureGroup="SalesSpareParts 1" count="0" oneField="1">
      <fieldsUsage count="1">
        <fieldUsage x="1"/>
      </fieldsUsage>
      <extLst>
        <ext xmlns:x15="http://schemas.microsoft.com/office/spreadsheetml/2010/11/main" uri="{B97F6D7D-B522-45F9-BDA1-12C45D357490}">
          <x15:cacheHierarchy aggregatedColumn="30"/>
        </ext>
      </extLst>
    </cacheHierarchy>
    <cacheHierarchy uniqueName="[Measures].[Count of Last Date of Use]" caption="Count of Last Date of Use" measure="1" displayFolder="" measureGroup="SalesEquipment 1" count="0">
      <extLst>
        <ext xmlns:x15="http://schemas.microsoft.com/office/spreadsheetml/2010/11/main" uri="{B97F6D7D-B522-45F9-BDA1-12C45D357490}">
          <x15:cacheHierarchy aggregatedColumn="17"/>
        </ext>
      </extLst>
    </cacheHierarchy>
    <cacheHierarchy uniqueName="[Measures].[Total Revenue in Equipment]" caption="Total Revenue in Equipment" measure="1" displayFolder="" measureGroup="SalesEquipment 1" count="0"/>
    <cacheHierarchy uniqueName="[Measures].[Total Revenue in Spare Parts]" caption="Total Revenue in Spare Parts" measure="1" displayFolder="" measureGroup="SalesSpareParts 1" count="0"/>
    <cacheHierarchy uniqueName="[Measures].[Total Expense in Equipment]" caption="Total Expense in Equipment" measure="1" displayFolder="" measureGroup="SalesEquipment 1" count="0"/>
    <cacheHierarchy uniqueName="[Measures].[Net Revenue in Equipment]" caption="Net Revenue in Equipment" measure="1" displayFolder="" measureGroup="SalesEquipment 1" count="0"/>
    <cacheHierarchy uniqueName="[Measures].[Total Expense in Spare Parts]" caption="Total Expense in Spare Parts" measure="1" displayFolder="" measureGroup="SalesSpareParts 1" count="0"/>
    <cacheHierarchy uniqueName="[Measures].[Net Revenue in Spare Parts]" caption="Net Revenue in Spare Parts" measure="1" displayFolder="" measureGroup="SalesSpareParts 1" count="0"/>
    <cacheHierarchy uniqueName="[Measures].[__XL_Count SalesEquipment]" caption="__XL_Count SalesEquipment" measure="1" displayFolder="" measureGroup="SalesEquipment" count="0" hidden="1"/>
    <cacheHierarchy uniqueName="[Measures].[__XL_Count SalesSpareParts]" caption="__XL_Count SalesSpareParts" measure="1" displayFolder="" measureGroup="SalesSpareParts" count="0" hidden="1"/>
    <cacheHierarchy uniqueName="[Measures].[__XL_Count SalesEquipment 1]" caption="__XL_Count SalesEquipment 1" measure="1" displayFolder="" measureGroup="SalesEquipment 1" count="0" hidden="1"/>
    <cacheHierarchy uniqueName="[Measures].[__XL_Count SalesSpareParts 1]" caption="__XL_Count SalesSpareParts 1" measure="1" displayFolder="" measureGroup="SalesSpareParts 1" count="0" hidden="1"/>
    <cacheHierarchy uniqueName="[Measures].[__XL_Count Sales Calendar]" caption="__XL_Count Sales Calendar" measure="1" displayFolder="" measureGroup="Sales Calendar" count="0" hidden="1"/>
    <cacheHierarchy uniqueName="[Measures].[__No measures defined]" caption="__No measures defined" measure="1" displayFolder="" count="0" hidden="1"/>
  </cacheHierarchies>
  <kpis count="0"/>
  <dimensions count="6">
    <dimension measure="1" name="Measures" uniqueName="[Measures]" caption="Measures"/>
    <dimension name="Sales Calendar" uniqueName="[Sales Calendar]" caption="Sales Calendar"/>
    <dimension name="SalesEquipment" uniqueName="[SalesEquipment]" caption="SalesEquipment"/>
    <dimension name="SalesEquipment 1" uniqueName="[SalesEquipment 1]" caption="SalesEquipment 1"/>
    <dimension name="SalesSpareParts" uniqueName="[SalesSpareParts]" caption="SalesSpareParts"/>
    <dimension name="SalesSpareParts 1" uniqueName="[SalesSpareParts 1]" caption="SalesSpareParts 1"/>
  </dimensions>
  <measureGroups count="5">
    <measureGroup name="Sales Calendar" caption="Sales Calendar"/>
    <measureGroup name="SalesEquipment" caption="SalesEquipment"/>
    <measureGroup name="SalesEquipment 1" caption="SalesEquipment 1"/>
    <measureGroup name="SalesSpareParts" caption="SalesSpareParts"/>
    <measureGroup name="SalesSpareParts 1" caption="SalesSpareParts 1"/>
  </measureGroups>
  <maps count="7">
    <map measureGroup="0" dimension="1"/>
    <map measureGroup="1" dimension="2"/>
    <map measureGroup="2" dimension="1"/>
    <map measureGroup="2" dimension="3"/>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nan Gambarov" refreshedDate="45488.026150925929" backgroundQuery="1" createdVersion="8" refreshedVersion="8" minRefreshableVersion="3" recordCount="0" supportSubquery="1" supportAdvancedDrill="1" xr:uid="{56A1FF9C-960C-4B6B-9984-7C966DF6C956}">
  <cacheSource type="external" connectionId="8"/>
  <cacheFields count="2">
    <cacheField name="[Measures].[Total Revenue in Equipment]" caption="Total Revenue in Equipment" numFmtId="0" hierarchy="38" level="32767"/>
    <cacheField name="[SalesSpareParts 1].[Ehtiyyat hissələrinin adı].[Ehtiyyat hissələrinin adı]" caption="Ehtiyyat hissələrinin adı" numFmtId="0" hierarchy="33" level="1">
      <sharedItems containsSemiMixedTypes="0" containsNonDate="0" containsString="0"/>
    </cacheField>
  </cacheFields>
  <cacheHierarchies count="50">
    <cacheHierarchy uniqueName="[Sales Calendar].[Sales Date]" caption="Sales Date" attribute="1" time="1" defaultMemberUniqueName="[Sales Calendar].[Sales Date].[All]" allUniqueName="[Sales Calendar].[Sales Date].[All]" dimensionUniqueName="[Sales Calendar]" displayFolder="" count="2" memberValueDatatype="7" unbalanced="0"/>
    <cacheHierarchy uniqueName="[Sales Calendar].[Year]" caption="Year" attribute="1" defaultMemberUniqueName="[Sales Calendar].[Year].[All]" allUniqueName="[Sales Calendar].[Year].[All]" dimensionUniqueName="[Sales Calendar]" displayFolder="" count="0" memberValueDatatype="20" unbalanced="0"/>
    <cacheHierarchy uniqueName="[Sales Calendar].[Month]" caption="Month" attribute="1" defaultMemberUniqueName="[Sales Calendar].[Month].[All]" allUniqueName="[Sales Calendar].[Month].[All]" dimensionUniqueName="[Sales Calendar]" displayFolder="" count="0" memberValueDatatype="20" unbalanced="0"/>
    <cacheHierarchy uniqueName="[Sales Calendar].[Month Name]" caption="Month Name" attribute="1" defaultMemberUniqueName="[Sales Calendar].[Month Name].[All]" allUniqueName="[Sales Calendar].[Month Name].[All]" dimensionUniqueName="[Sales Calendar]" displayFolder="" count="0" memberValueDatatype="130" unbalanced="0"/>
    <cacheHierarchy uniqueName="[SalesEquipment].[Sales ID]" caption="Sales ID" attribute="1" defaultMemberUniqueName="[SalesEquipment].[Sales ID].[All]" allUniqueName="[SalesEquipment].[Sales ID].[All]" dimensionUniqueName="[SalesEquipment]" displayFolder="" count="0" memberValueDatatype="130" unbalanced="0"/>
    <cacheHierarchy uniqueName="[SalesEquipment].[Sales Date]" caption="Sales Date" attribute="1" time="1" defaultMemberUniqueName="[SalesEquipment].[Sales Date].[All]" allUniqueName="[SalesEquipment].[Sales Date].[All]" dimensionUniqueName="[SalesEquipment]" displayFolder="" count="0" memberValueDatatype="7" unbalanced="0"/>
    <cacheHierarchy uniqueName="[SalesEquipment].[Equipment ID]" caption="Equipment ID" attribute="1" defaultMemberUniqueName="[SalesEquipment].[Equipment ID].[All]" allUniqueName="[SalesEquipment].[Equipment ID].[All]" dimensionUniqueName="[SalesEquipment]" displayFolder="" count="0" memberValueDatatype="130" unbalanced="0"/>
    <cacheHierarchy uniqueName="[SalesEquipment].[Customer ID]" caption="Customer ID" attribute="1" defaultMemberUniqueName="[SalesEquipment].[Customer ID].[All]" allUniqueName="[SalesEquipment].[Customer ID].[All]" dimensionUniqueName="[SalesEquipment]" displayFolder="" count="0" memberValueDatatype="130" unbalanced="0"/>
    <cacheHierarchy uniqueName="[SalesEquipment].[Sales Price]" caption="Sales Price" attribute="1" defaultMemberUniqueName="[SalesEquipment].[Sales Price].[All]" allUniqueName="[SalesEquipment].[Sales Price].[All]" dimensionUniqueName="[SalesEquipment]" displayFolder="" count="0" memberValueDatatype="20" unbalanced="0"/>
    <cacheHierarchy uniqueName="[SalesEquipment].[Quantity]" caption="Quantity" attribute="1" defaultMemberUniqueName="[SalesEquipment].[Quantity].[All]" allUniqueName="[SalesEquipment].[Quantity].[All]" dimensionUniqueName="[SalesEquipment]" displayFolder="" count="0" memberValueDatatype="20" unbalanced="0"/>
    <cacheHierarchy uniqueName="[SalesEquipment].[Last Date of Use]" caption="Last Date of Use" attribute="1" time="1" defaultMemberUniqueName="[SalesEquipment].[Last Date of Use].[All]" allUniqueName="[SalesEquipment].[Last Date of Use].[All]" dimensionUniqueName="[SalesEquipment]" displayFolder="" count="0" memberValueDatatype="7" unbalanced="0"/>
    <cacheHierarchy uniqueName="[SalesEquipment 1].[Sales ID]" caption="Sales ID" attribute="1" defaultMemberUniqueName="[SalesEquipment 1].[Sales ID].[All]" allUniqueName="[SalesEquipment 1].[Sales ID].[All]" dimensionUniqueName="[SalesEquipment 1]" displayFolder="" count="0" memberValueDatatype="130" unbalanced="0"/>
    <cacheHierarchy uniqueName="[SalesEquipment 1].[Sales Date]" caption="Sales Date" attribute="1" time="1" defaultMemberUniqueName="[SalesEquipment 1].[Sales Date].[All]" allUniqueName="[SalesEquipment 1].[Sales Date].[All]" dimensionUniqueName="[SalesEquipment 1]" displayFolder="" count="0" memberValueDatatype="7" unbalanced="0"/>
    <cacheHierarchy uniqueName="[SalesEquipment 1].[Equipment ID]" caption="Equipment ID" attribute="1" defaultMemberUniqueName="[SalesEquipment 1].[Equipment ID].[All]" allUniqueName="[SalesEquipment 1].[Equipment ID].[All]" dimensionUniqueName="[SalesEquipment 1]" displayFolder="" count="0" memberValueDatatype="130" unbalanced="0"/>
    <cacheHierarchy uniqueName="[SalesEquipment 1].[Customer ID]" caption="Customer ID" attribute="1" defaultMemberUniqueName="[SalesEquipment 1].[Customer ID].[All]" allUniqueName="[SalesEquipment 1].[Customer ID].[All]" dimensionUniqueName="[SalesEquipment 1]" displayFolder="" count="0" memberValueDatatype="130" unbalanced="0"/>
    <cacheHierarchy uniqueName="[SalesEquipment 1].[Sales Price]" caption="Sales Price" attribute="1" defaultMemberUniqueName="[SalesEquipment 1].[Sales Price].[All]" allUniqueName="[SalesEquipment 1].[Sales Price].[All]" dimensionUniqueName="[SalesEquipment 1]" displayFolder="" count="0" memberValueDatatype="20" unbalanced="0"/>
    <cacheHierarchy uniqueName="[SalesEquipment 1].[Quantity]" caption="Quantity" attribute="1" defaultMemberUniqueName="[SalesEquipment 1].[Quantity].[All]" allUniqueName="[SalesEquipment 1].[Quantity].[All]" dimensionUniqueName="[SalesEquipment 1]" displayFolder="" count="0" memberValueDatatype="20" unbalanced="0"/>
    <cacheHierarchy uniqueName="[SalesEquipment 1].[Last Date of Use]" caption="Last Date of Use" attribute="1" time="1" defaultMemberUniqueName="[SalesEquipment 1].[Last Date of Use].[All]" allUniqueName="[SalesEquipment 1].[Last Date of Use].[All]" dimensionUniqueName="[SalesEquipment 1]" displayFolder="" count="0" memberValueDatatype="7" unbalanced="0"/>
    <cacheHierarchy uniqueName="[SalesEquipment 1].[Alış dəyəri]" caption="Alış dəyəri" attribute="1" defaultMemberUniqueName="[SalesEquipment 1].[Alış dəyəri].[All]" allUniqueName="[SalesEquipment 1].[Alış dəyəri].[All]" dimensionUniqueName="[SalesEquipment 1]" displayFolder="" count="0" memberValueDatatype="5" unbalanced="0"/>
    <cacheHierarchy uniqueName="[SalesEquipment 1].[Avadanlığın adı]" caption="Avadanlığın adı" attribute="1" defaultMemberUniqueName="[SalesEquipment 1].[Avadanlığın adı].[All]" allUniqueName="[SalesEquipment 1].[Avadanlığın adı].[All]" dimensionUniqueName="[SalesEquipment 1]" displayFolder="" count="2" memberValueDatatype="130" unbalanced="0"/>
    <cacheHierarchy uniqueName="[SalesSpareParts].[Sales ID]" caption="Sales ID" attribute="1" defaultMemberUniqueName="[SalesSpareParts].[Sales ID].[All]" allUniqueName="[SalesSpareParts].[Sales ID].[All]" dimensionUniqueName="[SalesSpareParts]" displayFolder="" count="0" memberValueDatatype="130" unbalanced="0"/>
    <cacheHierarchy uniqueName="[SalesSpareParts].[Sales Date]" caption="Sales Date" attribute="1" time="1" defaultMemberUniqueName="[SalesSpareParts].[Sales Date].[All]" allUniqueName="[SalesSpareParts].[Sales Date].[All]" dimensionUniqueName="[SalesSpareParts]" displayFolder="" count="0" memberValueDatatype="7" unbalanced="0"/>
    <cacheHierarchy uniqueName="[SalesSpareParts].[Spare Part ID]" caption="Spare Part ID" attribute="1" defaultMemberUniqueName="[SalesSpareParts].[Spare Part ID].[All]" allUniqueName="[SalesSpareParts].[Spare Part ID].[All]" dimensionUniqueName="[SalesSpareParts]" displayFolder="" count="0" memberValueDatatype="130" unbalanced="0"/>
    <cacheHierarchy uniqueName="[SalesSpareParts].[Customer ID]" caption="Customer ID" attribute="1" defaultMemberUniqueName="[SalesSpareParts].[Customer ID].[All]" allUniqueName="[SalesSpareParts].[Customer ID].[All]" dimensionUniqueName="[SalesSpareParts]" displayFolder="" count="0" memberValueDatatype="130" unbalanced="0"/>
    <cacheHierarchy uniqueName="[SalesSpareParts].[Quantity]" caption="Quantity" attribute="1" defaultMemberUniqueName="[SalesSpareParts].[Quantity].[All]" allUniqueName="[SalesSpareParts].[Quantity].[All]" dimensionUniqueName="[SalesSpareParts]" displayFolder="" count="0" memberValueDatatype="20" unbalanced="0"/>
    <cacheHierarchy uniqueName="[SalesSpareParts].[Sales Price]" caption="Sales Price" attribute="1" defaultMemberUniqueName="[SalesSpareParts].[Sales Price].[All]" allUniqueName="[SalesSpareParts].[Sales Price].[All]" dimensionUniqueName="[SalesSpareParts]" displayFolder="" count="0" memberValueDatatype="20" unbalanced="0"/>
    <cacheHierarchy uniqueName="[SalesSpareParts 1].[Sales ID]" caption="Sales ID" attribute="1" defaultMemberUniqueName="[SalesSpareParts 1].[Sales ID].[All]" allUniqueName="[SalesSpareParts 1].[Sales ID].[All]" dimensionUniqueName="[SalesSpareParts 1]" displayFolder="" count="0" memberValueDatatype="130" unbalanced="0"/>
    <cacheHierarchy uniqueName="[SalesSpareParts 1].[Sales Date]" caption="Sales Date" attribute="1" time="1" defaultMemberUniqueName="[SalesSpareParts 1].[Sales Date].[All]" allUniqueName="[SalesSpareParts 1].[Sales Date].[All]" dimensionUniqueName="[SalesSpareParts 1]" displayFolder="" count="0" memberValueDatatype="7" unbalanced="0"/>
    <cacheHierarchy uniqueName="[SalesSpareParts 1].[Spare Part ID]" caption="Spare Part ID" attribute="1" defaultMemberUniqueName="[SalesSpareParts 1].[Spare Part ID].[All]" allUniqueName="[SalesSpareParts 1].[Spare Part ID].[All]" dimensionUniqueName="[SalesSpareParts 1]" displayFolder="" count="0" memberValueDatatype="130" unbalanced="0"/>
    <cacheHierarchy uniqueName="[SalesSpareParts 1].[Customer ID]" caption="Customer ID" attribute="1" defaultMemberUniqueName="[SalesSpareParts 1].[Customer ID].[All]" allUniqueName="[SalesSpareParts 1].[Customer ID].[All]" dimensionUniqueName="[SalesSpareParts 1]" displayFolder="" count="0" memberValueDatatype="130" unbalanced="0"/>
    <cacheHierarchy uniqueName="[SalesSpareParts 1].[Quantity]" caption="Quantity" attribute="1" defaultMemberUniqueName="[SalesSpareParts 1].[Quantity].[All]" allUniqueName="[SalesSpareParts 1].[Quantity].[All]" dimensionUniqueName="[SalesSpareParts 1]" displayFolder="" count="0" memberValueDatatype="20" unbalanced="0"/>
    <cacheHierarchy uniqueName="[SalesSpareParts 1].[Sales Price]" caption="Sales Price" attribute="1" defaultMemberUniqueName="[SalesSpareParts 1].[Sales Price].[All]" allUniqueName="[SalesSpareParts 1].[Sales Price].[All]" dimensionUniqueName="[SalesSpareParts 1]" displayFolder="" count="0" memberValueDatatype="20" unbalanced="0"/>
    <cacheHierarchy uniqueName="[SalesSpareParts 1].[Alış dəyəri]" caption="Alış dəyəri" attribute="1" defaultMemberUniqueName="[SalesSpareParts 1].[Alış dəyəri].[All]" allUniqueName="[SalesSpareParts 1].[Alış dəyəri].[All]" dimensionUniqueName="[SalesSpareParts 1]" displayFolder="" count="0" memberValueDatatype="5" unbalanced="0"/>
    <cacheHierarchy uniqueName="[SalesSpareParts 1].[Ehtiyyat hissələrinin adı]" caption="Ehtiyyat hissələrinin adı" attribute="1" defaultMemberUniqueName="[SalesSpareParts 1].[Ehtiyyat hissələrinin adı].[All]" allUniqueName="[SalesSpareParts 1].[Ehtiyyat hissələrinin adı].[All]" dimensionUniqueName="[SalesSpareParts 1]" displayFolder="" count="2" memberValueDatatype="130" unbalanced="0">
      <fieldsUsage count="2">
        <fieldUsage x="-1"/>
        <fieldUsage x="1"/>
      </fieldsUsage>
    </cacheHierarchy>
    <cacheHierarchy uniqueName="[Measures].[Sum of Quantity]" caption="Sum of Quantity" measure="1" displayFolder="" measureGroup="SalesEquipment" count="0">
      <extLst>
        <ext xmlns:x15="http://schemas.microsoft.com/office/spreadsheetml/2010/11/main" uri="{B97F6D7D-B522-45F9-BDA1-12C45D357490}">
          <x15:cacheHierarchy aggregatedColumn="9"/>
        </ext>
      </extLst>
    </cacheHierarchy>
    <cacheHierarchy uniqueName="[Measures].[Sum of Quantity 2]" caption="Sum of Quantity 2" measure="1" displayFolder="" measureGroup="SalesEquipment 1" count="0">
      <extLst>
        <ext xmlns:x15="http://schemas.microsoft.com/office/spreadsheetml/2010/11/main" uri="{B97F6D7D-B522-45F9-BDA1-12C45D357490}">
          <x15:cacheHierarchy aggregatedColumn="16"/>
        </ext>
      </extLst>
    </cacheHierarchy>
    <cacheHierarchy uniqueName="[Measures].[Sum of Quantity 3]" caption="Sum of Quantity 3" measure="1" displayFolder="" measureGroup="SalesSpareParts 1" count="0">
      <extLst>
        <ext xmlns:x15="http://schemas.microsoft.com/office/spreadsheetml/2010/11/main" uri="{B97F6D7D-B522-45F9-BDA1-12C45D357490}">
          <x15:cacheHierarchy aggregatedColumn="30"/>
        </ext>
      </extLst>
    </cacheHierarchy>
    <cacheHierarchy uniqueName="[Measures].[Count of Last Date of Use]" caption="Count of Last Date of Use" measure="1" displayFolder="" measureGroup="SalesEquipment 1" count="0">
      <extLst>
        <ext xmlns:x15="http://schemas.microsoft.com/office/spreadsheetml/2010/11/main" uri="{B97F6D7D-B522-45F9-BDA1-12C45D357490}">
          <x15:cacheHierarchy aggregatedColumn="17"/>
        </ext>
      </extLst>
    </cacheHierarchy>
    <cacheHierarchy uniqueName="[Measures].[Total Revenue in Equipment]" caption="Total Revenue in Equipment" measure="1" displayFolder="" measureGroup="SalesEquipment 1" count="0" oneField="1">
      <fieldsUsage count="1">
        <fieldUsage x="0"/>
      </fieldsUsage>
    </cacheHierarchy>
    <cacheHierarchy uniqueName="[Measures].[Total Revenue in Spare Parts]" caption="Total Revenue in Spare Parts" measure="1" displayFolder="" measureGroup="SalesSpareParts 1" count="0"/>
    <cacheHierarchy uniqueName="[Measures].[Total Expense in Equipment]" caption="Total Expense in Equipment" measure="1" displayFolder="" measureGroup="SalesEquipment 1" count="0"/>
    <cacheHierarchy uniqueName="[Measures].[Net Revenue in Equipment]" caption="Net Revenue in Equipment" measure="1" displayFolder="" measureGroup="SalesEquipment 1" count="0"/>
    <cacheHierarchy uniqueName="[Measures].[Total Expense in Spare Parts]" caption="Total Expense in Spare Parts" measure="1" displayFolder="" measureGroup="SalesSpareParts 1" count="0"/>
    <cacheHierarchy uniqueName="[Measures].[Net Revenue in Spare Parts]" caption="Net Revenue in Spare Parts" measure="1" displayFolder="" measureGroup="SalesSpareParts 1" count="0"/>
    <cacheHierarchy uniqueName="[Measures].[__XL_Count SalesEquipment]" caption="__XL_Count SalesEquipment" measure="1" displayFolder="" measureGroup="SalesEquipment" count="0" hidden="1"/>
    <cacheHierarchy uniqueName="[Measures].[__XL_Count SalesSpareParts]" caption="__XL_Count SalesSpareParts" measure="1" displayFolder="" measureGroup="SalesSpareParts" count="0" hidden="1"/>
    <cacheHierarchy uniqueName="[Measures].[__XL_Count SalesEquipment 1]" caption="__XL_Count SalesEquipment 1" measure="1" displayFolder="" measureGroup="SalesEquipment 1" count="0" hidden="1"/>
    <cacheHierarchy uniqueName="[Measures].[__XL_Count SalesSpareParts 1]" caption="__XL_Count SalesSpareParts 1" measure="1" displayFolder="" measureGroup="SalesSpareParts 1" count="0" hidden="1"/>
    <cacheHierarchy uniqueName="[Measures].[__XL_Count Sales Calendar]" caption="__XL_Count Sales Calendar" measure="1" displayFolder="" measureGroup="Sales Calendar" count="0" hidden="1"/>
    <cacheHierarchy uniqueName="[Measures].[__No measures defined]" caption="__No measures defined" measure="1" displayFolder="" count="0" hidden="1"/>
  </cacheHierarchies>
  <kpis count="0"/>
  <dimensions count="6">
    <dimension measure="1" name="Measures" uniqueName="[Measures]" caption="Measures"/>
    <dimension name="Sales Calendar" uniqueName="[Sales Calendar]" caption="Sales Calendar"/>
    <dimension name="SalesEquipment" uniqueName="[SalesEquipment]" caption="SalesEquipment"/>
    <dimension name="SalesEquipment 1" uniqueName="[SalesEquipment 1]" caption="SalesEquipment 1"/>
    <dimension name="SalesSpareParts" uniqueName="[SalesSpareParts]" caption="SalesSpareParts"/>
    <dimension name="SalesSpareParts 1" uniqueName="[SalesSpareParts 1]" caption="SalesSpareParts 1"/>
  </dimensions>
  <measureGroups count="5">
    <measureGroup name="Sales Calendar" caption="Sales Calendar"/>
    <measureGroup name="SalesEquipment" caption="SalesEquipment"/>
    <measureGroup name="SalesEquipment 1" caption="SalesEquipment 1"/>
    <measureGroup name="SalesSpareParts" caption="SalesSpareParts"/>
    <measureGroup name="SalesSpareParts 1" caption="SalesSpareParts 1"/>
  </measureGroups>
  <maps count="7">
    <map measureGroup="0" dimension="1"/>
    <map measureGroup="1" dimension="2"/>
    <map measureGroup="2" dimension="1"/>
    <map measureGroup="2" dimension="3"/>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nan Gambarov" refreshedDate="45488.026150925929" backgroundQuery="1" createdVersion="8" refreshedVersion="8" minRefreshableVersion="3" recordCount="0" supportSubquery="1" supportAdvancedDrill="1" xr:uid="{23679CCC-8394-4207-BF95-F87DC802268A}">
  <cacheSource type="external" connectionId="8"/>
  <cacheFields count="2">
    <cacheField name="[Measures].[Total Revenue in Spare Parts]" caption="Total Revenue in Spare Parts" numFmtId="0" hierarchy="39" level="32767"/>
    <cacheField name="[SalesSpareParts 1].[Ehtiyyat hissələrinin adı].[Ehtiyyat hissələrinin adı]" caption="Ehtiyyat hissələrinin adı" numFmtId="0" hierarchy="33" level="1">
      <sharedItems containsSemiMixedTypes="0" containsNonDate="0" containsString="0"/>
    </cacheField>
  </cacheFields>
  <cacheHierarchies count="50">
    <cacheHierarchy uniqueName="[Sales Calendar].[Sales Date]" caption="Sales Date" attribute="1" time="1" defaultMemberUniqueName="[Sales Calendar].[Sales Date].[All]" allUniqueName="[Sales Calendar].[Sales Date].[All]" dimensionUniqueName="[Sales Calendar]" displayFolder="" count="2" memberValueDatatype="7" unbalanced="0"/>
    <cacheHierarchy uniqueName="[Sales Calendar].[Year]" caption="Year" attribute="1" defaultMemberUniqueName="[Sales Calendar].[Year].[All]" allUniqueName="[Sales Calendar].[Year].[All]" dimensionUniqueName="[Sales Calendar]" displayFolder="" count="0" memberValueDatatype="20" unbalanced="0"/>
    <cacheHierarchy uniqueName="[Sales Calendar].[Month]" caption="Month" attribute="1" defaultMemberUniqueName="[Sales Calendar].[Month].[All]" allUniqueName="[Sales Calendar].[Month].[All]" dimensionUniqueName="[Sales Calendar]" displayFolder="" count="0" memberValueDatatype="20" unbalanced="0"/>
    <cacheHierarchy uniqueName="[Sales Calendar].[Month Name]" caption="Month Name" attribute="1" defaultMemberUniqueName="[Sales Calendar].[Month Name].[All]" allUniqueName="[Sales Calendar].[Month Name].[All]" dimensionUniqueName="[Sales Calendar]" displayFolder="" count="0" memberValueDatatype="130" unbalanced="0"/>
    <cacheHierarchy uniqueName="[SalesEquipment].[Sales ID]" caption="Sales ID" attribute="1" defaultMemberUniqueName="[SalesEquipment].[Sales ID].[All]" allUniqueName="[SalesEquipment].[Sales ID].[All]" dimensionUniqueName="[SalesEquipment]" displayFolder="" count="0" memberValueDatatype="130" unbalanced="0"/>
    <cacheHierarchy uniqueName="[SalesEquipment].[Sales Date]" caption="Sales Date" attribute="1" time="1" defaultMemberUniqueName="[SalesEquipment].[Sales Date].[All]" allUniqueName="[SalesEquipment].[Sales Date].[All]" dimensionUniqueName="[SalesEquipment]" displayFolder="" count="0" memberValueDatatype="7" unbalanced="0"/>
    <cacheHierarchy uniqueName="[SalesEquipment].[Equipment ID]" caption="Equipment ID" attribute="1" defaultMemberUniqueName="[SalesEquipment].[Equipment ID].[All]" allUniqueName="[SalesEquipment].[Equipment ID].[All]" dimensionUniqueName="[SalesEquipment]" displayFolder="" count="0" memberValueDatatype="130" unbalanced="0"/>
    <cacheHierarchy uniqueName="[SalesEquipment].[Customer ID]" caption="Customer ID" attribute="1" defaultMemberUniqueName="[SalesEquipment].[Customer ID].[All]" allUniqueName="[SalesEquipment].[Customer ID].[All]" dimensionUniqueName="[SalesEquipment]" displayFolder="" count="0" memberValueDatatype="130" unbalanced="0"/>
    <cacheHierarchy uniqueName="[SalesEquipment].[Sales Price]" caption="Sales Price" attribute="1" defaultMemberUniqueName="[SalesEquipment].[Sales Price].[All]" allUniqueName="[SalesEquipment].[Sales Price].[All]" dimensionUniqueName="[SalesEquipment]" displayFolder="" count="0" memberValueDatatype="20" unbalanced="0"/>
    <cacheHierarchy uniqueName="[SalesEquipment].[Quantity]" caption="Quantity" attribute="1" defaultMemberUniqueName="[SalesEquipment].[Quantity].[All]" allUniqueName="[SalesEquipment].[Quantity].[All]" dimensionUniqueName="[SalesEquipment]" displayFolder="" count="0" memberValueDatatype="20" unbalanced="0"/>
    <cacheHierarchy uniqueName="[SalesEquipment].[Last Date of Use]" caption="Last Date of Use" attribute="1" time="1" defaultMemberUniqueName="[SalesEquipment].[Last Date of Use].[All]" allUniqueName="[SalesEquipment].[Last Date of Use].[All]" dimensionUniqueName="[SalesEquipment]" displayFolder="" count="0" memberValueDatatype="7" unbalanced="0"/>
    <cacheHierarchy uniqueName="[SalesEquipment 1].[Sales ID]" caption="Sales ID" attribute="1" defaultMemberUniqueName="[SalesEquipment 1].[Sales ID].[All]" allUniqueName="[SalesEquipment 1].[Sales ID].[All]" dimensionUniqueName="[SalesEquipment 1]" displayFolder="" count="0" memberValueDatatype="130" unbalanced="0"/>
    <cacheHierarchy uniqueName="[SalesEquipment 1].[Sales Date]" caption="Sales Date" attribute="1" time="1" defaultMemberUniqueName="[SalesEquipment 1].[Sales Date].[All]" allUniqueName="[SalesEquipment 1].[Sales Date].[All]" dimensionUniqueName="[SalesEquipment 1]" displayFolder="" count="0" memberValueDatatype="7" unbalanced="0"/>
    <cacheHierarchy uniqueName="[SalesEquipment 1].[Equipment ID]" caption="Equipment ID" attribute="1" defaultMemberUniqueName="[SalesEquipment 1].[Equipment ID].[All]" allUniqueName="[SalesEquipment 1].[Equipment ID].[All]" dimensionUniqueName="[SalesEquipment 1]" displayFolder="" count="0" memberValueDatatype="130" unbalanced="0"/>
    <cacheHierarchy uniqueName="[SalesEquipment 1].[Customer ID]" caption="Customer ID" attribute="1" defaultMemberUniqueName="[SalesEquipment 1].[Customer ID].[All]" allUniqueName="[SalesEquipment 1].[Customer ID].[All]" dimensionUniqueName="[SalesEquipment 1]" displayFolder="" count="0" memberValueDatatype="130" unbalanced="0"/>
    <cacheHierarchy uniqueName="[SalesEquipment 1].[Sales Price]" caption="Sales Price" attribute="1" defaultMemberUniqueName="[SalesEquipment 1].[Sales Price].[All]" allUniqueName="[SalesEquipment 1].[Sales Price].[All]" dimensionUniqueName="[SalesEquipment 1]" displayFolder="" count="0" memberValueDatatype="20" unbalanced="0"/>
    <cacheHierarchy uniqueName="[SalesEquipment 1].[Quantity]" caption="Quantity" attribute="1" defaultMemberUniqueName="[SalesEquipment 1].[Quantity].[All]" allUniqueName="[SalesEquipment 1].[Quantity].[All]" dimensionUniqueName="[SalesEquipment 1]" displayFolder="" count="0" memberValueDatatype="20" unbalanced="0"/>
    <cacheHierarchy uniqueName="[SalesEquipment 1].[Last Date of Use]" caption="Last Date of Use" attribute="1" time="1" defaultMemberUniqueName="[SalesEquipment 1].[Last Date of Use].[All]" allUniqueName="[SalesEquipment 1].[Last Date of Use].[All]" dimensionUniqueName="[SalesEquipment 1]" displayFolder="" count="0" memberValueDatatype="7" unbalanced="0"/>
    <cacheHierarchy uniqueName="[SalesEquipment 1].[Alış dəyəri]" caption="Alış dəyəri" attribute="1" defaultMemberUniqueName="[SalesEquipment 1].[Alış dəyəri].[All]" allUniqueName="[SalesEquipment 1].[Alış dəyəri].[All]" dimensionUniqueName="[SalesEquipment 1]" displayFolder="" count="0" memberValueDatatype="5" unbalanced="0"/>
    <cacheHierarchy uniqueName="[SalesEquipment 1].[Avadanlığın adı]" caption="Avadanlığın adı" attribute="1" defaultMemberUniqueName="[SalesEquipment 1].[Avadanlığın adı].[All]" allUniqueName="[SalesEquipment 1].[Avadanlığın adı].[All]" dimensionUniqueName="[SalesEquipment 1]" displayFolder="" count="2" memberValueDatatype="130" unbalanced="0"/>
    <cacheHierarchy uniqueName="[SalesSpareParts].[Sales ID]" caption="Sales ID" attribute="1" defaultMemberUniqueName="[SalesSpareParts].[Sales ID].[All]" allUniqueName="[SalesSpareParts].[Sales ID].[All]" dimensionUniqueName="[SalesSpareParts]" displayFolder="" count="0" memberValueDatatype="130" unbalanced="0"/>
    <cacheHierarchy uniqueName="[SalesSpareParts].[Sales Date]" caption="Sales Date" attribute="1" time="1" defaultMemberUniqueName="[SalesSpareParts].[Sales Date].[All]" allUniqueName="[SalesSpareParts].[Sales Date].[All]" dimensionUniqueName="[SalesSpareParts]" displayFolder="" count="0" memberValueDatatype="7" unbalanced="0"/>
    <cacheHierarchy uniqueName="[SalesSpareParts].[Spare Part ID]" caption="Spare Part ID" attribute="1" defaultMemberUniqueName="[SalesSpareParts].[Spare Part ID].[All]" allUniqueName="[SalesSpareParts].[Spare Part ID].[All]" dimensionUniqueName="[SalesSpareParts]" displayFolder="" count="0" memberValueDatatype="130" unbalanced="0"/>
    <cacheHierarchy uniqueName="[SalesSpareParts].[Customer ID]" caption="Customer ID" attribute="1" defaultMemberUniqueName="[SalesSpareParts].[Customer ID].[All]" allUniqueName="[SalesSpareParts].[Customer ID].[All]" dimensionUniqueName="[SalesSpareParts]" displayFolder="" count="0" memberValueDatatype="130" unbalanced="0"/>
    <cacheHierarchy uniqueName="[SalesSpareParts].[Quantity]" caption="Quantity" attribute="1" defaultMemberUniqueName="[SalesSpareParts].[Quantity].[All]" allUniqueName="[SalesSpareParts].[Quantity].[All]" dimensionUniqueName="[SalesSpareParts]" displayFolder="" count="0" memberValueDatatype="20" unbalanced="0"/>
    <cacheHierarchy uniqueName="[SalesSpareParts].[Sales Price]" caption="Sales Price" attribute="1" defaultMemberUniqueName="[SalesSpareParts].[Sales Price].[All]" allUniqueName="[SalesSpareParts].[Sales Price].[All]" dimensionUniqueName="[SalesSpareParts]" displayFolder="" count="0" memberValueDatatype="20" unbalanced="0"/>
    <cacheHierarchy uniqueName="[SalesSpareParts 1].[Sales ID]" caption="Sales ID" attribute="1" defaultMemberUniqueName="[SalesSpareParts 1].[Sales ID].[All]" allUniqueName="[SalesSpareParts 1].[Sales ID].[All]" dimensionUniqueName="[SalesSpareParts 1]" displayFolder="" count="0" memberValueDatatype="130" unbalanced="0"/>
    <cacheHierarchy uniqueName="[SalesSpareParts 1].[Sales Date]" caption="Sales Date" attribute="1" time="1" defaultMemberUniqueName="[SalesSpareParts 1].[Sales Date].[All]" allUniqueName="[SalesSpareParts 1].[Sales Date].[All]" dimensionUniqueName="[SalesSpareParts 1]" displayFolder="" count="0" memberValueDatatype="7" unbalanced="0"/>
    <cacheHierarchy uniqueName="[SalesSpareParts 1].[Spare Part ID]" caption="Spare Part ID" attribute="1" defaultMemberUniqueName="[SalesSpareParts 1].[Spare Part ID].[All]" allUniqueName="[SalesSpareParts 1].[Spare Part ID].[All]" dimensionUniqueName="[SalesSpareParts 1]" displayFolder="" count="0" memberValueDatatype="130" unbalanced="0"/>
    <cacheHierarchy uniqueName="[SalesSpareParts 1].[Customer ID]" caption="Customer ID" attribute="1" defaultMemberUniqueName="[SalesSpareParts 1].[Customer ID].[All]" allUniqueName="[SalesSpareParts 1].[Customer ID].[All]" dimensionUniqueName="[SalesSpareParts 1]" displayFolder="" count="0" memberValueDatatype="130" unbalanced="0"/>
    <cacheHierarchy uniqueName="[SalesSpareParts 1].[Quantity]" caption="Quantity" attribute="1" defaultMemberUniqueName="[SalesSpareParts 1].[Quantity].[All]" allUniqueName="[SalesSpareParts 1].[Quantity].[All]" dimensionUniqueName="[SalesSpareParts 1]" displayFolder="" count="0" memberValueDatatype="20" unbalanced="0"/>
    <cacheHierarchy uniqueName="[SalesSpareParts 1].[Sales Price]" caption="Sales Price" attribute="1" defaultMemberUniqueName="[SalesSpareParts 1].[Sales Price].[All]" allUniqueName="[SalesSpareParts 1].[Sales Price].[All]" dimensionUniqueName="[SalesSpareParts 1]" displayFolder="" count="0" memberValueDatatype="20" unbalanced="0"/>
    <cacheHierarchy uniqueName="[SalesSpareParts 1].[Alış dəyəri]" caption="Alış dəyəri" attribute="1" defaultMemberUniqueName="[SalesSpareParts 1].[Alış dəyəri].[All]" allUniqueName="[SalesSpareParts 1].[Alış dəyəri].[All]" dimensionUniqueName="[SalesSpareParts 1]" displayFolder="" count="0" memberValueDatatype="5" unbalanced="0"/>
    <cacheHierarchy uniqueName="[SalesSpareParts 1].[Ehtiyyat hissələrinin adı]" caption="Ehtiyyat hissələrinin adı" attribute="1" defaultMemberUniqueName="[SalesSpareParts 1].[Ehtiyyat hissələrinin adı].[All]" allUniqueName="[SalesSpareParts 1].[Ehtiyyat hissələrinin adı].[All]" dimensionUniqueName="[SalesSpareParts 1]" displayFolder="" count="2" memberValueDatatype="130" unbalanced="0">
      <fieldsUsage count="2">
        <fieldUsage x="-1"/>
        <fieldUsage x="1"/>
      </fieldsUsage>
    </cacheHierarchy>
    <cacheHierarchy uniqueName="[Measures].[Sum of Quantity]" caption="Sum of Quantity" measure="1" displayFolder="" measureGroup="SalesEquipment" count="0">
      <extLst>
        <ext xmlns:x15="http://schemas.microsoft.com/office/spreadsheetml/2010/11/main" uri="{B97F6D7D-B522-45F9-BDA1-12C45D357490}">
          <x15:cacheHierarchy aggregatedColumn="9"/>
        </ext>
      </extLst>
    </cacheHierarchy>
    <cacheHierarchy uniqueName="[Measures].[Sum of Quantity 2]" caption="Sum of Quantity 2" measure="1" displayFolder="" measureGroup="SalesEquipment 1" count="0">
      <extLst>
        <ext xmlns:x15="http://schemas.microsoft.com/office/spreadsheetml/2010/11/main" uri="{B97F6D7D-B522-45F9-BDA1-12C45D357490}">
          <x15:cacheHierarchy aggregatedColumn="16"/>
        </ext>
      </extLst>
    </cacheHierarchy>
    <cacheHierarchy uniqueName="[Measures].[Sum of Quantity 3]" caption="Sum of Quantity 3" measure="1" displayFolder="" measureGroup="SalesSpareParts 1" count="0">
      <extLst>
        <ext xmlns:x15="http://schemas.microsoft.com/office/spreadsheetml/2010/11/main" uri="{B97F6D7D-B522-45F9-BDA1-12C45D357490}">
          <x15:cacheHierarchy aggregatedColumn="30"/>
        </ext>
      </extLst>
    </cacheHierarchy>
    <cacheHierarchy uniqueName="[Measures].[Count of Last Date of Use]" caption="Count of Last Date of Use" measure="1" displayFolder="" measureGroup="SalesEquipment 1" count="0">
      <extLst>
        <ext xmlns:x15="http://schemas.microsoft.com/office/spreadsheetml/2010/11/main" uri="{B97F6D7D-B522-45F9-BDA1-12C45D357490}">
          <x15:cacheHierarchy aggregatedColumn="17"/>
        </ext>
      </extLst>
    </cacheHierarchy>
    <cacheHierarchy uniqueName="[Measures].[Total Revenue in Equipment]" caption="Total Revenue in Equipment" measure="1" displayFolder="" measureGroup="SalesEquipment 1" count="0"/>
    <cacheHierarchy uniqueName="[Measures].[Total Revenue in Spare Parts]" caption="Total Revenue in Spare Parts" measure="1" displayFolder="" measureGroup="SalesSpareParts 1" count="0" oneField="1">
      <fieldsUsage count="1">
        <fieldUsage x="0"/>
      </fieldsUsage>
    </cacheHierarchy>
    <cacheHierarchy uniqueName="[Measures].[Total Expense in Equipment]" caption="Total Expense in Equipment" measure="1" displayFolder="" measureGroup="SalesEquipment 1" count="0"/>
    <cacheHierarchy uniqueName="[Measures].[Net Revenue in Equipment]" caption="Net Revenue in Equipment" measure="1" displayFolder="" measureGroup="SalesEquipment 1" count="0"/>
    <cacheHierarchy uniqueName="[Measures].[Total Expense in Spare Parts]" caption="Total Expense in Spare Parts" measure="1" displayFolder="" measureGroup="SalesSpareParts 1" count="0"/>
    <cacheHierarchy uniqueName="[Measures].[Net Revenue in Spare Parts]" caption="Net Revenue in Spare Parts" measure="1" displayFolder="" measureGroup="SalesSpareParts 1" count="0"/>
    <cacheHierarchy uniqueName="[Measures].[__XL_Count SalesEquipment]" caption="__XL_Count SalesEquipment" measure="1" displayFolder="" measureGroup="SalesEquipment" count="0" hidden="1"/>
    <cacheHierarchy uniqueName="[Measures].[__XL_Count SalesSpareParts]" caption="__XL_Count SalesSpareParts" measure="1" displayFolder="" measureGroup="SalesSpareParts" count="0" hidden="1"/>
    <cacheHierarchy uniqueName="[Measures].[__XL_Count SalesEquipment 1]" caption="__XL_Count SalesEquipment 1" measure="1" displayFolder="" measureGroup="SalesEquipment 1" count="0" hidden="1"/>
    <cacheHierarchy uniqueName="[Measures].[__XL_Count SalesSpareParts 1]" caption="__XL_Count SalesSpareParts 1" measure="1" displayFolder="" measureGroup="SalesSpareParts 1" count="0" hidden="1"/>
    <cacheHierarchy uniqueName="[Measures].[__XL_Count Sales Calendar]" caption="__XL_Count Sales Calendar" measure="1" displayFolder="" measureGroup="Sales Calendar" count="0" hidden="1"/>
    <cacheHierarchy uniqueName="[Measures].[__No measures defined]" caption="__No measures defined" measure="1" displayFolder="" count="0" hidden="1"/>
  </cacheHierarchies>
  <kpis count="0"/>
  <dimensions count="6">
    <dimension measure="1" name="Measures" uniqueName="[Measures]" caption="Measures"/>
    <dimension name="Sales Calendar" uniqueName="[Sales Calendar]" caption="Sales Calendar"/>
    <dimension name="SalesEquipment" uniqueName="[SalesEquipment]" caption="SalesEquipment"/>
    <dimension name="SalesEquipment 1" uniqueName="[SalesEquipment 1]" caption="SalesEquipment 1"/>
    <dimension name="SalesSpareParts" uniqueName="[SalesSpareParts]" caption="SalesSpareParts"/>
    <dimension name="SalesSpareParts 1" uniqueName="[SalesSpareParts 1]" caption="SalesSpareParts 1"/>
  </dimensions>
  <measureGroups count="5">
    <measureGroup name="Sales Calendar" caption="Sales Calendar"/>
    <measureGroup name="SalesEquipment" caption="SalesEquipment"/>
    <measureGroup name="SalesEquipment 1" caption="SalesEquipment 1"/>
    <measureGroup name="SalesSpareParts" caption="SalesSpareParts"/>
    <measureGroup name="SalesSpareParts 1" caption="SalesSpareParts 1"/>
  </measureGroups>
  <maps count="7">
    <map measureGroup="0" dimension="1"/>
    <map measureGroup="1" dimension="2"/>
    <map measureGroup="2" dimension="1"/>
    <map measureGroup="2" dimension="3"/>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nan Gambarov" refreshedDate="45488.026151041668" backgroundQuery="1" createdVersion="8" refreshedVersion="8" minRefreshableVersion="3" recordCount="0" supportSubquery="1" supportAdvancedDrill="1" xr:uid="{8A9AC91C-A9E4-46AC-B6E6-5B91D559873E}">
  <cacheSource type="external" connectionId="8"/>
  <cacheFields count="2">
    <cacheField name="[Measures].[Net Revenue in Equipment]" caption="Net Revenue in Equipment" numFmtId="0" hierarchy="41" level="32767"/>
    <cacheField name="[SalesSpareParts 1].[Ehtiyyat hissələrinin adı].[Ehtiyyat hissələrinin adı]" caption="Ehtiyyat hissələrinin adı" numFmtId="0" hierarchy="33" level="1">
      <sharedItems containsSemiMixedTypes="0" containsNonDate="0" containsString="0"/>
    </cacheField>
  </cacheFields>
  <cacheHierarchies count="50">
    <cacheHierarchy uniqueName="[Sales Calendar].[Sales Date]" caption="Sales Date" attribute="1" time="1" defaultMemberUniqueName="[Sales Calendar].[Sales Date].[All]" allUniqueName="[Sales Calendar].[Sales Date].[All]" dimensionUniqueName="[Sales Calendar]" displayFolder="" count="2" memberValueDatatype="7" unbalanced="0"/>
    <cacheHierarchy uniqueName="[Sales Calendar].[Year]" caption="Year" attribute="1" defaultMemberUniqueName="[Sales Calendar].[Year].[All]" allUniqueName="[Sales Calendar].[Year].[All]" dimensionUniqueName="[Sales Calendar]" displayFolder="" count="0" memberValueDatatype="20" unbalanced="0"/>
    <cacheHierarchy uniqueName="[Sales Calendar].[Month]" caption="Month" attribute="1" defaultMemberUniqueName="[Sales Calendar].[Month].[All]" allUniqueName="[Sales Calendar].[Month].[All]" dimensionUniqueName="[Sales Calendar]" displayFolder="" count="0" memberValueDatatype="20" unbalanced="0"/>
    <cacheHierarchy uniqueName="[Sales Calendar].[Month Name]" caption="Month Name" attribute="1" defaultMemberUniqueName="[Sales Calendar].[Month Name].[All]" allUniqueName="[Sales Calendar].[Month Name].[All]" dimensionUniqueName="[Sales Calendar]" displayFolder="" count="0" memberValueDatatype="130" unbalanced="0"/>
    <cacheHierarchy uniqueName="[SalesEquipment].[Sales ID]" caption="Sales ID" attribute="1" defaultMemberUniqueName="[SalesEquipment].[Sales ID].[All]" allUniqueName="[SalesEquipment].[Sales ID].[All]" dimensionUniqueName="[SalesEquipment]" displayFolder="" count="0" memberValueDatatype="130" unbalanced="0"/>
    <cacheHierarchy uniqueName="[SalesEquipment].[Sales Date]" caption="Sales Date" attribute="1" time="1" defaultMemberUniqueName="[SalesEquipment].[Sales Date].[All]" allUniqueName="[SalesEquipment].[Sales Date].[All]" dimensionUniqueName="[SalesEquipment]" displayFolder="" count="0" memberValueDatatype="7" unbalanced="0"/>
    <cacheHierarchy uniqueName="[SalesEquipment].[Equipment ID]" caption="Equipment ID" attribute="1" defaultMemberUniqueName="[SalesEquipment].[Equipment ID].[All]" allUniqueName="[SalesEquipment].[Equipment ID].[All]" dimensionUniqueName="[SalesEquipment]" displayFolder="" count="0" memberValueDatatype="130" unbalanced="0"/>
    <cacheHierarchy uniqueName="[SalesEquipment].[Customer ID]" caption="Customer ID" attribute="1" defaultMemberUniqueName="[SalesEquipment].[Customer ID].[All]" allUniqueName="[SalesEquipment].[Customer ID].[All]" dimensionUniqueName="[SalesEquipment]" displayFolder="" count="0" memberValueDatatype="130" unbalanced="0"/>
    <cacheHierarchy uniqueName="[SalesEquipment].[Sales Price]" caption="Sales Price" attribute="1" defaultMemberUniqueName="[SalesEquipment].[Sales Price].[All]" allUniqueName="[SalesEquipment].[Sales Price].[All]" dimensionUniqueName="[SalesEquipment]" displayFolder="" count="0" memberValueDatatype="20" unbalanced="0"/>
    <cacheHierarchy uniqueName="[SalesEquipment].[Quantity]" caption="Quantity" attribute="1" defaultMemberUniqueName="[SalesEquipment].[Quantity].[All]" allUniqueName="[SalesEquipment].[Quantity].[All]" dimensionUniqueName="[SalesEquipment]" displayFolder="" count="0" memberValueDatatype="20" unbalanced="0"/>
    <cacheHierarchy uniqueName="[SalesEquipment].[Last Date of Use]" caption="Last Date of Use" attribute="1" time="1" defaultMemberUniqueName="[SalesEquipment].[Last Date of Use].[All]" allUniqueName="[SalesEquipment].[Last Date of Use].[All]" dimensionUniqueName="[SalesEquipment]" displayFolder="" count="0" memberValueDatatype="7" unbalanced="0"/>
    <cacheHierarchy uniqueName="[SalesEquipment 1].[Sales ID]" caption="Sales ID" attribute="1" defaultMemberUniqueName="[SalesEquipment 1].[Sales ID].[All]" allUniqueName="[SalesEquipment 1].[Sales ID].[All]" dimensionUniqueName="[SalesEquipment 1]" displayFolder="" count="0" memberValueDatatype="130" unbalanced="0"/>
    <cacheHierarchy uniqueName="[SalesEquipment 1].[Sales Date]" caption="Sales Date" attribute="1" time="1" defaultMemberUniqueName="[SalesEquipment 1].[Sales Date].[All]" allUniqueName="[SalesEquipment 1].[Sales Date].[All]" dimensionUniqueName="[SalesEquipment 1]" displayFolder="" count="0" memberValueDatatype="7" unbalanced="0"/>
    <cacheHierarchy uniqueName="[SalesEquipment 1].[Equipment ID]" caption="Equipment ID" attribute="1" defaultMemberUniqueName="[SalesEquipment 1].[Equipment ID].[All]" allUniqueName="[SalesEquipment 1].[Equipment ID].[All]" dimensionUniqueName="[SalesEquipment 1]" displayFolder="" count="0" memberValueDatatype="130" unbalanced="0"/>
    <cacheHierarchy uniqueName="[SalesEquipment 1].[Customer ID]" caption="Customer ID" attribute="1" defaultMemberUniqueName="[SalesEquipment 1].[Customer ID].[All]" allUniqueName="[SalesEquipment 1].[Customer ID].[All]" dimensionUniqueName="[SalesEquipment 1]" displayFolder="" count="0" memberValueDatatype="130" unbalanced="0"/>
    <cacheHierarchy uniqueName="[SalesEquipment 1].[Sales Price]" caption="Sales Price" attribute="1" defaultMemberUniqueName="[SalesEquipment 1].[Sales Price].[All]" allUniqueName="[SalesEquipment 1].[Sales Price].[All]" dimensionUniqueName="[SalesEquipment 1]" displayFolder="" count="0" memberValueDatatype="20" unbalanced="0"/>
    <cacheHierarchy uniqueName="[SalesEquipment 1].[Quantity]" caption="Quantity" attribute="1" defaultMemberUniqueName="[SalesEquipment 1].[Quantity].[All]" allUniqueName="[SalesEquipment 1].[Quantity].[All]" dimensionUniqueName="[SalesEquipment 1]" displayFolder="" count="0" memberValueDatatype="20" unbalanced="0"/>
    <cacheHierarchy uniqueName="[SalesEquipment 1].[Last Date of Use]" caption="Last Date of Use" attribute="1" time="1" defaultMemberUniqueName="[SalesEquipment 1].[Last Date of Use].[All]" allUniqueName="[SalesEquipment 1].[Last Date of Use].[All]" dimensionUniqueName="[SalesEquipment 1]" displayFolder="" count="0" memberValueDatatype="7" unbalanced="0"/>
    <cacheHierarchy uniqueName="[SalesEquipment 1].[Alış dəyəri]" caption="Alış dəyəri" attribute="1" defaultMemberUniqueName="[SalesEquipment 1].[Alış dəyəri].[All]" allUniqueName="[SalesEquipment 1].[Alış dəyəri].[All]" dimensionUniqueName="[SalesEquipment 1]" displayFolder="" count="0" memberValueDatatype="5" unbalanced="0"/>
    <cacheHierarchy uniqueName="[SalesEquipment 1].[Avadanlığın adı]" caption="Avadanlığın adı" attribute="1" defaultMemberUniqueName="[SalesEquipment 1].[Avadanlığın adı].[All]" allUniqueName="[SalesEquipment 1].[Avadanlığın adı].[All]" dimensionUniqueName="[SalesEquipment 1]" displayFolder="" count="2" memberValueDatatype="130" unbalanced="0"/>
    <cacheHierarchy uniqueName="[SalesSpareParts].[Sales ID]" caption="Sales ID" attribute="1" defaultMemberUniqueName="[SalesSpareParts].[Sales ID].[All]" allUniqueName="[SalesSpareParts].[Sales ID].[All]" dimensionUniqueName="[SalesSpareParts]" displayFolder="" count="0" memberValueDatatype="130" unbalanced="0"/>
    <cacheHierarchy uniqueName="[SalesSpareParts].[Sales Date]" caption="Sales Date" attribute="1" time="1" defaultMemberUniqueName="[SalesSpareParts].[Sales Date].[All]" allUniqueName="[SalesSpareParts].[Sales Date].[All]" dimensionUniqueName="[SalesSpareParts]" displayFolder="" count="0" memberValueDatatype="7" unbalanced="0"/>
    <cacheHierarchy uniqueName="[SalesSpareParts].[Spare Part ID]" caption="Spare Part ID" attribute="1" defaultMemberUniqueName="[SalesSpareParts].[Spare Part ID].[All]" allUniqueName="[SalesSpareParts].[Spare Part ID].[All]" dimensionUniqueName="[SalesSpareParts]" displayFolder="" count="0" memberValueDatatype="130" unbalanced="0"/>
    <cacheHierarchy uniqueName="[SalesSpareParts].[Customer ID]" caption="Customer ID" attribute="1" defaultMemberUniqueName="[SalesSpareParts].[Customer ID].[All]" allUniqueName="[SalesSpareParts].[Customer ID].[All]" dimensionUniqueName="[SalesSpareParts]" displayFolder="" count="0" memberValueDatatype="130" unbalanced="0"/>
    <cacheHierarchy uniqueName="[SalesSpareParts].[Quantity]" caption="Quantity" attribute="1" defaultMemberUniqueName="[SalesSpareParts].[Quantity].[All]" allUniqueName="[SalesSpareParts].[Quantity].[All]" dimensionUniqueName="[SalesSpareParts]" displayFolder="" count="0" memberValueDatatype="20" unbalanced="0"/>
    <cacheHierarchy uniqueName="[SalesSpareParts].[Sales Price]" caption="Sales Price" attribute="1" defaultMemberUniqueName="[SalesSpareParts].[Sales Price].[All]" allUniqueName="[SalesSpareParts].[Sales Price].[All]" dimensionUniqueName="[SalesSpareParts]" displayFolder="" count="0" memberValueDatatype="20" unbalanced="0"/>
    <cacheHierarchy uniqueName="[SalesSpareParts 1].[Sales ID]" caption="Sales ID" attribute="1" defaultMemberUniqueName="[SalesSpareParts 1].[Sales ID].[All]" allUniqueName="[SalesSpareParts 1].[Sales ID].[All]" dimensionUniqueName="[SalesSpareParts 1]" displayFolder="" count="0" memberValueDatatype="130" unbalanced="0"/>
    <cacheHierarchy uniqueName="[SalesSpareParts 1].[Sales Date]" caption="Sales Date" attribute="1" time="1" defaultMemberUniqueName="[SalesSpareParts 1].[Sales Date].[All]" allUniqueName="[SalesSpareParts 1].[Sales Date].[All]" dimensionUniqueName="[SalesSpareParts 1]" displayFolder="" count="0" memberValueDatatype="7" unbalanced="0"/>
    <cacheHierarchy uniqueName="[SalesSpareParts 1].[Spare Part ID]" caption="Spare Part ID" attribute="1" defaultMemberUniqueName="[SalesSpareParts 1].[Spare Part ID].[All]" allUniqueName="[SalesSpareParts 1].[Spare Part ID].[All]" dimensionUniqueName="[SalesSpareParts 1]" displayFolder="" count="0" memberValueDatatype="130" unbalanced="0"/>
    <cacheHierarchy uniqueName="[SalesSpareParts 1].[Customer ID]" caption="Customer ID" attribute="1" defaultMemberUniqueName="[SalesSpareParts 1].[Customer ID].[All]" allUniqueName="[SalesSpareParts 1].[Customer ID].[All]" dimensionUniqueName="[SalesSpareParts 1]" displayFolder="" count="0" memberValueDatatype="130" unbalanced="0"/>
    <cacheHierarchy uniqueName="[SalesSpareParts 1].[Quantity]" caption="Quantity" attribute="1" defaultMemberUniqueName="[SalesSpareParts 1].[Quantity].[All]" allUniqueName="[SalesSpareParts 1].[Quantity].[All]" dimensionUniqueName="[SalesSpareParts 1]" displayFolder="" count="0" memberValueDatatype="20" unbalanced="0"/>
    <cacheHierarchy uniqueName="[SalesSpareParts 1].[Sales Price]" caption="Sales Price" attribute="1" defaultMemberUniqueName="[SalesSpareParts 1].[Sales Price].[All]" allUniqueName="[SalesSpareParts 1].[Sales Price].[All]" dimensionUniqueName="[SalesSpareParts 1]" displayFolder="" count="0" memberValueDatatype="20" unbalanced="0"/>
    <cacheHierarchy uniqueName="[SalesSpareParts 1].[Alış dəyəri]" caption="Alış dəyəri" attribute="1" defaultMemberUniqueName="[SalesSpareParts 1].[Alış dəyəri].[All]" allUniqueName="[SalesSpareParts 1].[Alış dəyəri].[All]" dimensionUniqueName="[SalesSpareParts 1]" displayFolder="" count="0" memberValueDatatype="5" unbalanced="0"/>
    <cacheHierarchy uniqueName="[SalesSpareParts 1].[Ehtiyyat hissələrinin adı]" caption="Ehtiyyat hissələrinin adı" attribute="1" defaultMemberUniqueName="[SalesSpareParts 1].[Ehtiyyat hissələrinin adı].[All]" allUniqueName="[SalesSpareParts 1].[Ehtiyyat hissələrinin adı].[All]" dimensionUniqueName="[SalesSpareParts 1]" displayFolder="" count="2" memberValueDatatype="130" unbalanced="0">
      <fieldsUsage count="2">
        <fieldUsage x="-1"/>
        <fieldUsage x="1"/>
      </fieldsUsage>
    </cacheHierarchy>
    <cacheHierarchy uniqueName="[Measures].[Sum of Quantity]" caption="Sum of Quantity" measure="1" displayFolder="" measureGroup="SalesEquipment" count="0">
      <extLst>
        <ext xmlns:x15="http://schemas.microsoft.com/office/spreadsheetml/2010/11/main" uri="{B97F6D7D-B522-45F9-BDA1-12C45D357490}">
          <x15:cacheHierarchy aggregatedColumn="9"/>
        </ext>
      </extLst>
    </cacheHierarchy>
    <cacheHierarchy uniqueName="[Measures].[Sum of Quantity 2]" caption="Sum of Quantity 2" measure="1" displayFolder="" measureGroup="SalesEquipment 1" count="0">
      <extLst>
        <ext xmlns:x15="http://schemas.microsoft.com/office/spreadsheetml/2010/11/main" uri="{B97F6D7D-B522-45F9-BDA1-12C45D357490}">
          <x15:cacheHierarchy aggregatedColumn="16"/>
        </ext>
      </extLst>
    </cacheHierarchy>
    <cacheHierarchy uniqueName="[Measures].[Sum of Quantity 3]" caption="Sum of Quantity 3" measure="1" displayFolder="" measureGroup="SalesSpareParts 1" count="0">
      <extLst>
        <ext xmlns:x15="http://schemas.microsoft.com/office/spreadsheetml/2010/11/main" uri="{B97F6D7D-B522-45F9-BDA1-12C45D357490}">
          <x15:cacheHierarchy aggregatedColumn="30"/>
        </ext>
      </extLst>
    </cacheHierarchy>
    <cacheHierarchy uniqueName="[Measures].[Count of Last Date of Use]" caption="Count of Last Date of Use" measure="1" displayFolder="" measureGroup="SalesEquipment 1" count="0">
      <extLst>
        <ext xmlns:x15="http://schemas.microsoft.com/office/spreadsheetml/2010/11/main" uri="{B97F6D7D-B522-45F9-BDA1-12C45D357490}">
          <x15:cacheHierarchy aggregatedColumn="17"/>
        </ext>
      </extLst>
    </cacheHierarchy>
    <cacheHierarchy uniqueName="[Measures].[Total Revenue in Equipment]" caption="Total Revenue in Equipment" measure="1" displayFolder="" measureGroup="SalesEquipment 1" count="0"/>
    <cacheHierarchy uniqueName="[Measures].[Total Revenue in Spare Parts]" caption="Total Revenue in Spare Parts" measure="1" displayFolder="" measureGroup="SalesSpareParts 1" count="0"/>
    <cacheHierarchy uniqueName="[Measures].[Total Expense in Equipment]" caption="Total Expense in Equipment" measure="1" displayFolder="" measureGroup="SalesEquipment 1" count="0"/>
    <cacheHierarchy uniqueName="[Measures].[Net Revenue in Equipment]" caption="Net Revenue in Equipment" measure="1" displayFolder="" measureGroup="SalesEquipment 1" count="0" oneField="1">
      <fieldsUsage count="1">
        <fieldUsage x="0"/>
      </fieldsUsage>
    </cacheHierarchy>
    <cacheHierarchy uniqueName="[Measures].[Total Expense in Spare Parts]" caption="Total Expense in Spare Parts" measure="1" displayFolder="" measureGroup="SalesSpareParts 1" count="0"/>
    <cacheHierarchy uniqueName="[Measures].[Net Revenue in Spare Parts]" caption="Net Revenue in Spare Parts" measure="1" displayFolder="" measureGroup="SalesSpareParts 1" count="0"/>
    <cacheHierarchy uniqueName="[Measures].[__XL_Count SalesEquipment]" caption="__XL_Count SalesEquipment" measure="1" displayFolder="" measureGroup="SalesEquipment" count="0" hidden="1"/>
    <cacheHierarchy uniqueName="[Measures].[__XL_Count SalesSpareParts]" caption="__XL_Count SalesSpareParts" measure="1" displayFolder="" measureGroup="SalesSpareParts" count="0" hidden="1"/>
    <cacheHierarchy uniqueName="[Measures].[__XL_Count SalesEquipment 1]" caption="__XL_Count SalesEquipment 1" measure="1" displayFolder="" measureGroup="SalesEquipment 1" count="0" hidden="1"/>
    <cacheHierarchy uniqueName="[Measures].[__XL_Count SalesSpareParts 1]" caption="__XL_Count SalesSpareParts 1" measure="1" displayFolder="" measureGroup="SalesSpareParts 1" count="0" hidden="1"/>
    <cacheHierarchy uniqueName="[Measures].[__XL_Count Sales Calendar]" caption="__XL_Count Sales Calendar" measure="1" displayFolder="" measureGroup="Sales Calendar" count="0" hidden="1"/>
    <cacheHierarchy uniqueName="[Measures].[__No measures defined]" caption="__No measures defined" measure="1" displayFolder="" count="0" hidden="1"/>
  </cacheHierarchies>
  <kpis count="0"/>
  <dimensions count="6">
    <dimension measure="1" name="Measures" uniqueName="[Measures]" caption="Measures"/>
    <dimension name="Sales Calendar" uniqueName="[Sales Calendar]" caption="Sales Calendar"/>
    <dimension name="SalesEquipment" uniqueName="[SalesEquipment]" caption="SalesEquipment"/>
    <dimension name="SalesEquipment 1" uniqueName="[SalesEquipment 1]" caption="SalesEquipment 1"/>
    <dimension name="SalesSpareParts" uniqueName="[SalesSpareParts]" caption="SalesSpareParts"/>
    <dimension name="SalesSpareParts 1" uniqueName="[SalesSpareParts 1]" caption="SalesSpareParts 1"/>
  </dimensions>
  <measureGroups count="5">
    <measureGroup name="Sales Calendar" caption="Sales Calendar"/>
    <measureGroup name="SalesEquipment" caption="SalesEquipment"/>
    <measureGroup name="SalesEquipment 1" caption="SalesEquipment 1"/>
    <measureGroup name="SalesSpareParts" caption="SalesSpareParts"/>
    <measureGroup name="SalesSpareParts 1" caption="SalesSpareParts 1"/>
  </measureGroups>
  <maps count="7">
    <map measureGroup="0" dimension="1"/>
    <map measureGroup="1" dimension="2"/>
    <map measureGroup="2" dimension="1"/>
    <map measureGroup="2" dimension="3"/>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nan Gambarov" refreshedDate="45488.026151041668" backgroundQuery="1" createdVersion="8" refreshedVersion="8" minRefreshableVersion="3" recordCount="0" supportSubquery="1" supportAdvancedDrill="1" xr:uid="{65598E93-4EFC-48E8-9E5A-B29BF53C4C65}">
  <cacheSource type="external" connectionId="8"/>
  <cacheFields count="2">
    <cacheField name="[Measures].[Net Revenue in Spare Parts]" caption="Net Revenue in Spare Parts" numFmtId="0" hierarchy="43" level="32767"/>
    <cacheField name="[SalesSpareParts 1].[Ehtiyyat hissələrinin adı].[Ehtiyyat hissələrinin adı]" caption="Ehtiyyat hissələrinin adı" numFmtId="0" hierarchy="33" level="1">
      <sharedItems containsSemiMixedTypes="0" containsNonDate="0" containsString="0"/>
    </cacheField>
  </cacheFields>
  <cacheHierarchies count="50">
    <cacheHierarchy uniqueName="[Sales Calendar].[Sales Date]" caption="Sales Date" attribute="1" time="1" defaultMemberUniqueName="[Sales Calendar].[Sales Date].[All]" allUniqueName="[Sales Calendar].[Sales Date].[All]" dimensionUniqueName="[Sales Calendar]" displayFolder="" count="2" memberValueDatatype="7" unbalanced="0"/>
    <cacheHierarchy uniqueName="[Sales Calendar].[Year]" caption="Year" attribute="1" defaultMemberUniqueName="[Sales Calendar].[Year].[All]" allUniqueName="[Sales Calendar].[Year].[All]" dimensionUniqueName="[Sales Calendar]" displayFolder="" count="0" memberValueDatatype="20" unbalanced="0"/>
    <cacheHierarchy uniqueName="[Sales Calendar].[Month]" caption="Month" attribute="1" defaultMemberUniqueName="[Sales Calendar].[Month].[All]" allUniqueName="[Sales Calendar].[Month].[All]" dimensionUniqueName="[Sales Calendar]" displayFolder="" count="0" memberValueDatatype="20" unbalanced="0"/>
    <cacheHierarchy uniqueName="[Sales Calendar].[Month Name]" caption="Month Name" attribute="1" defaultMemberUniqueName="[Sales Calendar].[Month Name].[All]" allUniqueName="[Sales Calendar].[Month Name].[All]" dimensionUniqueName="[Sales Calendar]" displayFolder="" count="0" memberValueDatatype="130" unbalanced="0"/>
    <cacheHierarchy uniqueName="[SalesEquipment].[Sales ID]" caption="Sales ID" attribute="1" defaultMemberUniqueName="[SalesEquipment].[Sales ID].[All]" allUniqueName="[SalesEquipment].[Sales ID].[All]" dimensionUniqueName="[SalesEquipment]" displayFolder="" count="0" memberValueDatatype="130" unbalanced="0"/>
    <cacheHierarchy uniqueName="[SalesEquipment].[Sales Date]" caption="Sales Date" attribute="1" time="1" defaultMemberUniqueName="[SalesEquipment].[Sales Date].[All]" allUniqueName="[SalesEquipment].[Sales Date].[All]" dimensionUniqueName="[SalesEquipment]" displayFolder="" count="0" memberValueDatatype="7" unbalanced="0"/>
    <cacheHierarchy uniqueName="[SalesEquipment].[Equipment ID]" caption="Equipment ID" attribute="1" defaultMemberUniqueName="[SalesEquipment].[Equipment ID].[All]" allUniqueName="[SalesEquipment].[Equipment ID].[All]" dimensionUniqueName="[SalesEquipment]" displayFolder="" count="0" memberValueDatatype="130" unbalanced="0"/>
    <cacheHierarchy uniqueName="[SalesEquipment].[Customer ID]" caption="Customer ID" attribute="1" defaultMemberUniqueName="[SalesEquipment].[Customer ID].[All]" allUniqueName="[SalesEquipment].[Customer ID].[All]" dimensionUniqueName="[SalesEquipment]" displayFolder="" count="0" memberValueDatatype="130" unbalanced="0"/>
    <cacheHierarchy uniqueName="[SalesEquipment].[Sales Price]" caption="Sales Price" attribute="1" defaultMemberUniqueName="[SalesEquipment].[Sales Price].[All]" allUniqueName="[SalesEquipment].[Sales Price].[All]" dimensionUniqueName="[SalesEquipment]" displayFolder="" count="0" memberValueDatatype="20" unbalanced="0"/>
    <cacheHierarchy uniqueName="[SalesEquipment].[Quantity]" caption="Quantity" attribute="1" defaultMemberUniqueName="[SalesEquipment].[Quantity].[All]" allUniqueName="[SalesEquipment].[Quantity].[All]" dimensionUniqueName="[SalesEquipment]" displayFolder="" count="0" memberValueDatatype="20" unbalanced="0"/>
    <cacheHierarchy uniqueName="[SalesEquipment].[Last Date of Use]" caption="Last Date of Use" attribute="1" time="1" defaultMemberUniqueName="[SalesEquipment].[Last Date of Use].[All]" allUniqueName="[SalesEquipment].[Last Date of Use].[All]" dimensionUniqueName="[SalesEquipment]" displayFolder="" count="0" memberValueDatatype="7" unbalanced="0"/>
    <cacheHierarchy uniqueName="[SalesEquipment 1].[Sales ID]" caption="Sales ID" attribute="1" defaultMemberUniqueName="[SalesEquipment 1].[Sales ID].[All]" allUniqueName="[SalesEquipment 1].[Sales ID].[All]" dimensionUniqueName="[SalesEquipment 1]" displayFolder="" count="0" memberValueDatatype="130" unbalanced="0"/>
    <cacheHierarchy uniqueName="[SalesEquipment 1].[Sales Date]" caption="Sales Date" attribute="1" time="1" defaultMemberUniqueName="[SalesEquipment 1].[Sales Date].[All]" allUniqueName="[SalesEquipment 1].[Sales Date].[All]" dimensionUniqueName="[SalesEquipment 1]" displayFolder="" count="0" memberValueDatatype="7" unbalanced="0"/>
    <cacheHierarchy uniqueName="[SalesEquipment 1].[Equipment ID]" caption="Equipment ID" attribute="1" defaultMemberUniqueName="[SalesEquipment 1].[Equipment ID].[All]" allUniqueName="[SalesEquipment 1].[Equipment ID].[All]" dimensionUniqueName="[SalesEquipment 1]" displayFolder="" count="0" memberValueDatatype="130" unbalanced="0"/>
    <cacheHierarchy uniqueName="[SalesEquipment 1].[Customer ID]" caption="Customer ID" attribute="1" defaultMemberUniqueName="[SalesEquipment 1].[Customer ID].[All]" allUniqueName="[SalesEquipment 1].[Customer ID].[All]" dimensionUniqueName="[SalesEquipment 1]" displayFolder="" count="0" memberValueDatatype="130" unbalanced="0"/>
    <cacheHierarchy uniqueName="[SalesEquipment 1].[Sales Price]" caption="Sales Price" attribute="1" defaultMemberUniqueName="[SalesEquipment 1].[Sales Price].[All]" allUniqueName="[SalesEquipment 1].[Sales Price].[All]" dimensionUniqueName="[SalesEquipment 1]" displayFolder="" count="0" memberValueDatatype="20" unbalanced="0"/>
    <cacheHierarchy uniqueName="[SalesEquipment 1].[Quantity]" caption="Quantity" attribute="1" defaultMemberUniqueName="[SalesEquipment 1].[Quantity].[All]" allUniqueName="[SalesEquipment 1].[Quantity].[All]" dimensionUniqueName="[SalesEquipment 1]" displayFolder="" count="0" memberValueDatatype="20" unbalanced="0"/>
    <cacheHierarchy uniqueName="[SalesEquipment 1].[Last Date of Use]" caption="Last Date of Use" attribute="1" time="1" defaultMemberUniqueName="[SalesEquipment 1].[Last Date of Use].[All]" allUniqueName="[SalesEquipment 1].[Last Date of Use].[All]" dimensionUniqueName="[SalesEquipment 1]" displayFolder="" count="0" memberValueDatatype="7" unbalanced="0"/>
    <cacheHierarchy uniqueName="[SalesEquipment 1].[Alış dəyəri]" caption="Alış dəyəri" attribute="1" defaultMemberUniqueName="[SalesEquipment 1].[Alış dəyəri].[All]" allUniqueName="[SalesEquipment 1].[Alış dəyəri].[All]" dimensionUniqueName="[SalesEquipment 1]" displayFolder="" count="0" memberValueDatatype="5" unbalanced="0"/>
    <cacheHierarchy uniqueName="[SalesEquipment 1].[Avadanlığın adı]" caption="Avadanlığın adı" attribute="1" defaultMemberUniqueName="[SalesEquipment 1].[Avadanlığın adı].[All]" allUniqueName="[SalesEquipment 1].[Avadanlığın adı].[All]" dimensionUniqueName="[SalesEquipment 1]" displayFolder="" count="2" memberValueDatatype="130" unbalanced="0"/>
    <cacheHierarchy uniqueName="[SalesSpareParts].[Sales ID]" caption="Sales ID" attribute="1" defaultMemberUniqueName="[SalesSpareParts].[Sales ID].[All]" allUniqueName="[SalesSpareParts].[Sales ID].[All]" dimensionUniqueName="[SalesSpareParts]" displayFolder="" count="0" memberValueDatatype="130" unbalanced="0"/>
    <cacheHierarchy uniqueName="[SalesSpareParts].[Sales Date]" caption="Sales Date" attribute="1" time="1" defaultMemberUniqueName="[SalesSpareParts].[Sales Date].[All]" allUniqueName="[SalesSpareParts].[Sales Date].[All]" dimensionUniqueName="[SalesSpareParts]" displayFolder="" count="0" memberValueDatatype="7" unbalanced="0"/>
    <cacheHierarchy uniqueName="[SalesSpareParts].[Spare Part ID]" caption="Spare Part ID" attribute="1" defaultMemberUniqueName="[SalesSpareParts].[Spare Part ID].[All]" allUniqueName="[SalesSpareParts].[Spare Part ID].[All]" dimensionUniqueName="[SalesSpareParts]" displayFolder="" count="0" memberValueDatatype="130" unbalanced="0"/>
    <cacheHierarchy uniqueName="[SalesSpareParts].[Customer ID]" caption="Customer ID" attribute="1" defaultMemberUniqueName="[SalesSpareParts].[Customer ID].[All]" allUniqueName="[SalesSpareParts].[Customer ID].[All]" dimensionUniqueName="[SalesSpareParts]" displayFolder="" count="0" memberValueDatatype="130" unbalanced="0"/>
    <cacheHierarchy uniqueName="[SalesSpareParts].[Quantity]" caption="Quantity" attribute="1" defaultMemberUniqueName="[SalesSpareParts].[Quantity].[All]" allUniqueName="[SalesSpareParts].[Quantity].[All]" dimensionUniqueName="[SalesSpareParts]" displayFolder="" count="0" memberValueDatatype="20" unbalanced="0"/>
    <cacheHierarchy uniqueName="[SalesSpareParts].[Sales Price]" caption="Sales Price" attribute="1" defaultMemberUniqueName="[SalesSpareParts].[Sales Price].[All]" allUniqueName="[SalesSpareParts].[Sales Price].[All]" dimensionUniqueName="[SalesSpareParts]" displayFolder="" count="0" memberValueDatatype="20" unbalanced="0"/>
    <cacheHierarchy uniqueName="[SalesSpareParts 1].[Sales ID]" caption="Sales ID" attribute="1" defaultMemberUniqueName="[SalesSpareParts 1].[Sales ID].[All]" allUniqueName="[SalesSpareParts 1].[Sales ID].[All]" dimensionUniqueName="[SalesSpareParts 1]" displayFolder="" count="0" memberValueDatatype="130" unbalanced="0"/>
    <cacheHierarchy uniqueName="[SalesSpareParts 1].[Sales Date]" caption="Sales Date" attribute="1" time="1" defaultMemberUniqueName="[SalesSpareParts 1].[Sales Date].[All]" allUniqueName="[SalesSpareParts 1].[Sales Date].[All]" dimensionUniqueName="[SalesSpareParts 1]" displayFolder="" count="0" memberValueDatatype="7" unbalanced="0"/>
    <cacheHierarchy uniqueName="[SalesSpareParts 1].[Spare Part ID]" caption="Spare Part ID" attribute="1" defaultMemberUniqueName="[SalesSpareParts 1].[Spare Part ID].[All]" allUniqueName="[SalesSpareParts 1].[Spare Part ID].[All]" dimensionUniqueName="[SalesSpareParts 1]" displayFolder="" count="0" memberValueDatatype="130" unbalanced="0"/>
    <cacheHierarchy uniqueName="[SalesSpareParts 1].[Customer ID]" caption="Customer ID" attribute="1" defaultMemberUniqueName="[SalesSpareParts 1].[Customer ID].[All]" allUniqueName="[SalesSpareParts 1].[Customer ID].[All]" dimensionUniqueName="[SalesSpareParts 1]" displayFolder="" count="0" memberValueDatatype="130" unbalanced="0"/>
    <cacheHierarchy uniqueName="[SalesSpareParts 1].[Quantity]" caption="Quantity" attribute="1" defaultMemberUniqueName="[SalesSpareParts 1].[Quantity].[All]" allUniqueName="[SalesSpareParts 1].[Quantity].[All]" dimensionUniqueName="[SalesSpareParts 1]" displayFolder="" count="0" memberValueDatatype="20" unbalanced="0"/>
    <cacheHierarchy uniqueName="[SalesSpareParts 1].[Sales Price]" caption="Sales Price" attribute="1" defaultMemberUniqueName="[SalesSpareParts 1].[Sales Price].[All]" allUniqueName="[SalesSpareParts 1].[Sales Price].[All]" dimensionUniqueName="[SalesSpareParts 1]" displayFolder="" count="0" memberValueDatatype="20" unbalanced="0"/>
    <cacheHierarchy uniqueName="[SalesSpareParts 1].[Alış dəyəri]" caption="Alış dəyəri" attribute="1" defaultMemberUniqueName="[SalesSpareParts 1].[Alış dəyəri].[All]" allUniqueName="[SalesSpareParts 1].[Alış dəyəri].[All]" dimensionUniqueName="[SalesSpareParts 1]" displayFolder="" count="0" memberValueDatatype="5" unbalanced="0"/>
    <cacheHierarchy uniqueName="[SalesSpareParts 1].[Ehtiyyat hissələrinin adı]" caption="Ehtiyyat hissələrinin adı" attribute="1" defaultMemberUniqueName="[SalesSpareParts 1].[Ehtiyyat hissələrinin adı].[All]" allUniqueName="[SalesSpareParts 1].[Ehtiyyat hissələrinin adı].[All]" dimensionUniqueName="[SalesSpareParts 1]" displayFolder="" count="2" memberValueDatatype="130" unbalanced="0">
      <fieldsUsage count="2">
        <fieldUsage x="-1"/>
        <fieldUsage x="1"/>
      </fieldsUsage>
    </cacheHierarchy>
    <cacheHierarchy uniqueName="[Measures].[Sum of Quantity]" caption="Sum of Quantity" measure="1" displayFolder="" measureGroup="SalesEquipment" count="0">
      <extLst>
        <ext xmlns:x15="http://schemas.microsoft.com/office/spreadsheetml/2010/11/main" uri="{B97F6D7D-B522-45F9-BDA1-12C45D357490}">
          <x15:cacheHierarchy aggregatedColumn="9"/>
        </ext>
      </extLst>
    </cacheHierarchy>
    <cacheHierarchy uniqueName="[Measures].[Sum of Quantity 2]" caption="Sum of Quantity 2" measure="1" displayFolder="" measureGroup="SalesEquipment 1" count="0">
      <extLst>
        <ext xmlns:x15="http://schemas.microsoft.com/office/spreadsheetml/2010/11/main" uri="{B97F6D7D-B522-45F9-BDA1-12C45D357490}">
          <x15:cacheHierarchy aggregatedColumn="16"/>
        </ext>
      </extLst>
    </cacheHierarchy>
    <cacheHierarchy uniqueName="[Measures].[Sum of Quantity 3]" caption="Sum of Quantity 3" measure="1" displayFolder="" measureGroup="SalesSpareParts 1" count="0">
      <extLst>
        <ext xmlns:x15="http://schemas.microsoft.com/office/spreadsheetml/2010/11/main" uri="{B97F6D7D-B522-45F9-BDA1-12C45D357490}">
          <x15:cacheHierarchy aggregatedColumn="30"/>
        </ext>
      </extLst>
    </cacheHierarchy>
    <cacheHierarchy uniqueName="[Measures].[Count of Last Date of Use]" caption="Count of Last Date of Use" measure="1" displayFolder="" measureGroup="SalesEquipment 1" count="0">
      <extLst>
        <ext xmlns:x15="http://schemas.microsoft.com/office/spreadsheetml/2010/11/main" uri="{B97F6D7D-B522-45F9-BDA1-12C45D357490}">
          <x15:cacheHierarchy aggregatedColumn="17"/>
        </ext>
      </extLst>
    </cacheHierarchy>
    <cacheHierarchy uniqueName="[Measures].[Total Revenue in Equipment]" caption="Total Revenue in Equipment" measure="1" displayFolder="" measureGroup="SalesEquipment 1" count="0"/>
    <cacheHierarchy uniqueName="[Measures].[Total Revenue in Spare Parts]" caption="Total Revenue in Spare Parts" measure="1" displayFolder="" measureGroup="SalesSpareParts 1" count="0"/>
    <cacheHierarchy uniqueName="[Measures].[Total Expense in Equipment]" caption="Total Expense in Equipment" measure="1" displayFolder="" measureGroup="SalesEquipment 1" count="0"/>
    <cacheHierarchy uniqueName="[Measures].[Net Revenue in Equipment]" caption="Net Revenue in Equipment" measure="1" displayFolder="" measureGroup="SalesEquipment 1" count="0"/>
    <cacheHierarchy uniqueName="[Measures].[Total Expense in Spare Parts]" caption="Total Expense in Spare Parts" measure="1" displayFolder="" measureGroup="SalesSpareParts 1" count="0"/>
    <cacheHierarchy uniqueName="[Measures].[Net Revenue in Spare Parts]" caption="Net Revenue in Spare Parts" measure="1" displayFolder="" measureGroup="SalesSpareParts 1" count="0" oneField="1">
      <fieldsUsage count="1">
        <fieldUsage x="0"/>
      </fieldsUsage>
    </cacheHierarchy>
    <cacheHierarchy uniqueName="[Measures].[__XL_Count SalesEquipment]" caption="__XL_Count SalesEquipment" measure="1" displayFolder="" measureGroup="SalesEquipment" count="0" hidden="1"/>
    <cacheHierarchy uniqueName="[Measures].[__XL_Count SalesSpareParts]" caption="__XL_Count SalesSpareParts" measure="1" displayFolder="" measureGroup="SalesSpareParts" count="0" hidden="1"/>
    <cacheHierarchy uniqueName="[Measures].[__XL_Count SalesEquipment 1]" caption="__XL_Count SalesEquipment 1" measure="1" displayFolder="" measureGroup="SalesEquipment 1" count="0" hidden="1"/>
    <cacheHierarchy uniqueName="[Measures].[__XL_Count SalesSpareParts 1]" caption="__XL_Count SalesSpareParts 1" measure="1" displayFolder="" measureGroup="SalesSpareParts 1" count="0" hidden="1"/>
    <cacheHierarchy uniqueName="[Measures].[__XL_Count Sales Calendar]" caption="__XL_Count Sales Calendar" measure="1" displayFolder="" measureGroup="Sales Calendar" count="0" hidden="1"/>
    <cacheHierarchy uniqueName="[Measures].[__No measures defined]" caption="__No measures defined" measure="1" displayFolder="" count="0" hidden="1"/>
  </cacheHierarchies>
  <kpis count="0"/>
  <dimensions count="6">
    <dimension measure="1" name="Measures" uniqueName="[Measures]" caption="Measures"/>
    <dimension name="Sales Calendar" uniqueName="[Sales Calendar]" caption="Sales Calendar"/>
    <dimension name="SalesEquipment" uniqueName="[SalesEquipment]" caption="SalesEquipment"/>
    <dimension name="SalesEquipment 1" uniqueName="[SalesEquipment 1]" caption="SalesEquipment 1"/>
    <dimension name="SalesSpareParts" uniqueName="[SalesSpareParts]" caption="SalesSpareParts"/>
    <dimension name="SalesSpareParts 1" uniqueName="[SalesSpareParts 1]" caption="SalesSpareParts 1"/>
  </dimensions>
  <measureGroups count="5">
    <measureGroup name="Sales Calendar" caption="Sales Calendar"/>
    <measureGroup name="SalesEquipment" caption="SalesEquipment"/>
    <measureGroup name="SalesEquipment 1" caption="SalesEquipment 1"/>
    <measureGroup name="SalesSpareParts" caption="SalesSpareParts"/>
    <measureGroup name="SalesSpareParts 1" caption="SalesSpareParts 1"/>
  </measureGroups>
  <maps count="7">
    <map measureGroup="0" dimension="1"/>
    <map measureGroup="1" dimension="2"/>
    <map measureGroup="2" dimension="1"/>
    <map measureGroup="2" dimension="3"/>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nan Gambarov" refreshedDate="45488.026151388891" backgroundQuery="1" createdVersion="8" refreshedVersion="8" minRefreshableVersion="3" recordCount="0" supportSubquery="1" supportAdvancedDrill="1" xr:uid="{AB3D377A-67DC-47F7-941A-9277D3EA5B61}">
  <cacheSource type="external" connectionId="8"/>
  <cacheFields count="4">
    <cacheField name="[Sales Calendar].[Month Name].[Month Name]" caption="Month Name" numFmtId="0" hierarchy="3" level="1">
      <sharedItems count="3">
        <s v="Avqust"/>
        <s v="İyul"/>
        <s v="İyun"/>
      </sharedItems>
    </cacheField>
    <cacheField name="[SalesEquipment 1].[Avadanlığın adı].[Avadanlığın adı]" caption="Avadanlığın adı" numFmtId="0" hierarchy="19" level="1">
      <sharedItems count="2">
        <s v="Yeni avadanliq 1"/>
        <s v="Yeni avadanliq 2"/>
      </sharedItems>
    </cacheField>
    <cacheField name="[Measures].[Sum of Quantity 2]" caption="Sum of Quantity 2" numFmtId="0" hierarchy="35" level="32767"/>
    <cacheField name="[SalesSpareParts 1].[Ehtiyyat hissələrinin adı].[Ehtiyyat hissələrinin adı]" caption="Ehtiyyat hissələrinin adı" numFmtId="0" hierarchy="33" level="1">
      <sharedItems containsSemiMixedTypes="0" containsNonDate="0" containsString="0"/>
    </cacheField>
  </cacheFields>
  <cacheHierarchies count="50">
    <cacheHierarchy uniqueName="[Sales Calendar].[Sales Date]" caption="Sales Date" attribute="1" time="1" defaultMemberUniqueName="[Sales Calendar].[Sales Date].[All]" allUniqueName="[Sales Calendar].[Sales Date].[All]" dimensionUniqueName="[Sales Calendar]" displayFolder="" count="2" memberValueDatatype="7" unbalanced="0"/>
    <cacheHierarchy uniqueName="[Sales Calendar].[Year]" caption="Year" attribute="1" defaultMemberUniqueName="[Sales Calendar].[Year].[All]" allUniqueName="[Sales Calendar].[Year].[All]" dimensionUniqueName="[Sales Calendar]" displayFolder="" count="0" memberValueDatatype="20" unbalanced="0"/>
    <cacheHierarchy uniqueName="[Sales Calendar].[Month]" caption="Month" attribute="1" defaultMemberUniqueName="[Sales Calendar].[Month].[All]" allUniqueName="[Sales Calendar].[Month].[All]" dimensionUniqueName="[Sales Calendar]" displayFolder="" count="0" memberValueDatatype="20" unbalanced="0"/>
    <cacheHierarchy uniqueName="[Sales Calendar].[Month Name]" caption="Month Name" attribute="1" defaultMemberUniqueName="[Sales Calendar].[Month Name].[All]" allUniqueName="[Sales Calendar].[Month Name].[All]" dimensionUniqueName="[Sales Calendar]" displayFolder="" count="2" memberValueDatatype="130" unbalanced="0">
      <fieldsUsage count="2">
        <fieldUsage x="-1"/>
        <fieldUsage x="0"/>
      </fieldsUsage>
    </cacheHierarchy>
    <cacheHierarchy uniqueName="[SalesEquipment].[Sales ID]" caption="Sales ID" attribute="1" defaultMemberUniqueName="[SalesEquipment].[Sales ID].[All]" allUniqueName="[SalesEquipment].[Sales ID].[All]" dimensionUniqueName="[SalesEquipment]" displayFolder="" count="0" memberValueDatatype="130" unbalanced="0"/>
    <cacheHierarchy uniqueName="[SalesEquipment].[Sales Date]" caption="Sales Date" attribute="1" time="1" defaultMemberUniqueName="[SalesEquipment].[Sales Date].[All]" allUniqueName="[SalesEquipment].[Sales Date].[All]" dimensionUniqueName="[SalesEquipment]" displayFolder="" count="0" memberValueDatatype="7" unbalanced="0"/>
    <cacheHierarchy uniqueName="[SalesEquipment].[Equipment ID]" caption="Equipment ID" attribute="1" defaultMemberUniqueName="[SalesEquipment].[Equipment ID].[All]" allUniqueName="[SalesEquipment].[Equipment ID].[All]" dimensionUniqueName="[SalesEquipment]" displayFolder="" count="0" memberValueDatatype="130" unbalanced="0"/>
    <cacheHierarchy uniqueName="[SalesEquipment].[Customer ID]" caption="Customer ID" attribute="1" defaultMemberUniqueName="[SalesEquipment].[Customer ID].[All]" allUniqueName="[SalesEquipment].[Customer ID].[All]" dimensionUniqueName="[SalesEquipment]" displayFolder="" count="0" memberValueDatatype="130" unbalanced="0"/>
    <cacheHierarchy uniqueName="[SalesEquipment].[Sales Price]" caption="Sales Price" attribute="1" defaultMemberUniqueName="[SalesEquipment].[Sales Price].[All]" allUniqueName="[SalesEquipment].[Sales Price].[All]" dimensionUniqueName="[SalesEquipment]" displayFolder="" count="0" memberValueDatatype="20" unbalanced="0"/>
    <cacheHierarchy uniqueName="[SalesEquipment].[Quantity]" caption="Quantity" attribute="1" defaultMemberUniqueName="[SalesEquipment].[Quantity].[All]" allUniqueName="[SalesEquipment].[Quantity].[All]" dimensionUniqueName="[SalesEquipment]" displayFolder="" count="0" memberValueDatatype="20" unbalanced="0"/>
    <cacheHierarchy uniqueName="[SalesEquipment].[Last Date of Use]" caption="Last Date of Use" attribute="1" time="1" defaultMemberUniqueName="[SalesEquipment].[Last Date of Use].[All]" allUniqueName="[SalesEquipment].[Last Date of Use].[All]" dimensionUniqueName="[SalesEquipment]" displayFolder="" count="0" memberValueDatatype="7" unbalanced="0"/>
    <cacheHierarchy uniqueName="[SalesEquipment 1].[Sales ID]" caption="Sales ID" attribute="1" defaultMemberUniqueName="[SalesEquipment 1].[Sales ID].[All]" allUniqueName="[SalesEquipment 1].[Sales ID].[All]" dimensionUniqueName="[SalesEquipment 1]" displayFolder="" count="0" memberValueDatatype="130" unbalanced="0"/>
    <cacheHierarchy uniqueName="[SalesEquipment 1].[Sales Date]" caption="Sales Date" attribute="1" time="1" defaultMemberUniqueName="[SalesEquipment 1].[Sales Date].[All]" allUniqueName="[SalesEquipment 1].[Sales Date].[All]" dimensionUniqueName="[SalesEquipment 1]" displayFolder="" count="0" memberValueDatatype="7" unbalanced="0"/>
    <cacheHierarchy uniqueName="[SalesEquipment 1].[Equipment ID]" caption="Equipment ID" attribute="1" defaultMemberUniqueName="[SalesEquipment 1].[Equipment ID].[All]" allUniqueName="[SalesEquipment 1].[Equipment ID].[All]" dimensionUniqueName="[SalesEquipment 1]" displayFolder="" count="0" memberValueDatatype="130" unbalanced="0"/>
    <cacheHierarchy uniqueName="[SalesEquipment 1].[Customer ID]" caption="Customer ID" attribute="1" defaultMemberUniqueName="[SalesEquipment 1].[Customer ID].[All]" allUniqueName="[SalesEquipment 1].[Customer ID].[All]" dimensionUniqueName="[SalesEquipment 1]" displayFolder="" count="0" memberValueDatatype="130" unbalanced="0"/>
    <cacheHierarchy uniqueName="[SalesEquipment 1].[Sales Price]" caption="Sales Price" attribute="1" defaultMemberUniqueName="[SalesEquipment 1].[Sales Price].[All]" allUniqueName="[SalesEquipment 1].[Sales Price].[All]" dimensionUniqueName="[SalesEquipment 1]" displayFolder="" count="0" memberValueDatatype="20" unbalanced="0"/>
    <cacheHierarchy uniqueName="[SalesEquipment 1].[Quantity]" caption="Quantity" attribute="1" defaultMemberUniqueName="[SalesEquipment 1].[Quantity].[All]" allUniqueName="[SalesEquipment 1].[Quantity].[All]" dimensionUniqueName="[SalesEquipment 1]" displayFolder="" count="0" memberValueDatatype="20" unbalanced="0"/>
    <cacheHierarchy uniqueName="[SalesEquipment 1].[Last Date of Use]" caption="Last Date of Use" attribute="1" time="1" defaultMemberUniqueName="[SalesEquipment 1].[Last Date of Use].[All]" allUniqueName="[SalesEquipment 1].[Last Date of Use].[All]" dimensionUniqueName="[SalesEquipment 1]" displayFolder="" count="0" memberValueDatatype="7" unbalanced="0"/>
    <cacheHierarchy uniqueName="[SalesEquipment 1].[Alış dəyəri]" caption="Alış dəyəri" attribute="1" defaultMemberUniqueName="[SalesEquipment 1].[Alış dəyəri].[All]" allUniqueName="[SalesEquipment 1].[Alış dəyəri].[All]" dimensionUniqueName="[SalesEquipment 1]" displayFolder="" count="0" memberValueDatatype="5" unbalanced="0"/>
    <cacheHierarchy uniqueName="[SalesEquipment 1].[Avadanlığın adı]" caption="Avadanlığın adı" attribute="1" defaultMemberUniqueName="[SalesEquipment 1].[Avadanlığın adı].[All]" allUniqueName="[SalesEquipment 1].[Avadanlığın adı].[All]" dimensionUniqueName="[SalesEquipment 1]" displayFolder="" count="2" memberValueDatatype="130" unbalanced="0">
      <fieldsUsage count="2">
        <fieldUsage x="-1"/>
        <fieldUsage x="1"/>
      </fieldsUsage>
    </cacheHierarchy>
    <cacheHierarchy uniqueName="[SalesSpareParts].[Sales ID]" caption="Sales ID" attribute="1" defaultMemberUniqueName="[SalesSpareParts].[Sales ID].[All]" allUniqueName="[SalesSpareParts].[Sales ID].[All]" dimensionUniqueName="[SalesSpareParts]" displayFolder="" count="0" memberValueDatatype="130" unbalanced="0"/>
    <cacheHierarchy uniqueName="[SalesSpareParts].[Sales Date]" caption="Sales Date" attribute="1" time="1" defaultMemberUniqueName="[SalesSpareParts].[Sales Date].[All]" allUniqueName="[SalesSpareParts].[Sales Date].[All]" dimensionUniqueName="[SalesSpareParts]" displayFolder="" count="0" memberValueDatatype="7" unbalanced="0"/>
    <cacheHierarchy uniqueName="[SalesSpareParts].[Spare Part ID]" caption="Spare Part ID" attribute="1" defaultMemberUniqueName="[SalesSpareParts].[Spare Part ID].[All]" allUniqueName="[SalesSpareParts].[Spare Part ID].[All]" dimensionUniqueName="[SalesSpareParts]" displayFolder="" count="0" memberValueDatatype="130" unbalanced="0"/>
    <cacheHierarchy uniqueName="[SalesSpareParts].[Customer ID]" caption="Customer ID" attribute="1" defaultMemberUniqueName="[SalesSpareParts].[Customer ID].[All]" allUniqueName="[SalesSpareParts].[Customer ID].[All]" dimensionUniqueName="[SalesSpareParts]" displayFolder="" count="0" memberValueDatatype="130" unbalanced="0"/>
    <cacheHierarchy uniqueName="[SalesSpareParts].[Quantity]" caption="Quantity" attribute="1" defaultMemberUniqueName="[SalesSpareParts].[Quantity].[All]" allUniqueName="[SalesSpareParts].[Quantity].[All]" dimensionUniqueName="[SalesSpareParts]" displayFolder="" count="0" memberValueDatatype="20" unbalanced="0"/>
    <cacheHierarchy uniqueName="[SalesSpareParts].[Sales Price]" caption="Sales Price" attribute="1" defaultMemberUniqueName="[SalesSpareParts].[Sales Price].[All]" allUniqueName="[SalesSpareParts].[Sales Price].[All]" dimensionUniqueName="[SalesSpareParts]" displayFolder="" count="0" memberValueDatatype="20" unbalanced="0"/>
    <cacheHierarchy uniqueName="[SalesSpareParts 1].[Sales ID]" caption="Sales ID" attribute="1" defaultMemberUniqueName="[SalesSpareParts 1].[Sales ID].[All]" allUniqueName="[SalesSpareParts 1].[Sales ID].[All]" dimensionUniqueName="[SalesSpareParts 1]" displayFolder="" count="0" memberValueDatatype="130" unbalanced="0"/>
    <cacheHierarchy uniqueName="[SalesSpareParts 1].[Sales Date]" caption="Sales Date" attribute="1" time="1" defaultMemberUniqueName="[SalesSpareParts 1].[Sales Date].[All]" allUniqueName="[SalesSpareParts 1].[Sales Date].[All]" dimensionUniqueName="[SalesSpareParts 1]" displayFolder="" count="0" memberValueDatatype="7" unbalanced="0"/>
    <cacheHierarchy uniqueName="[SalesSpareParts 1].[Spare Part ID]" caption="Spare Part ID" attribute="1" defaultMemberUniqueName="[SalesSpareParts 1].[Spare Part ID].[All]" allUniqueName="[SalesSpareParts 1].[Spare Part ID].[All]" dimensionUniqueName="[SalesSpareParts 1]" displayFolder="" count="0" memberValueDatatype="130" unbalanced="0"/>
    <cacheHierarchy uniqueName="[SalesSpareParts 1].[Customer ID]" caption="Customer ID" attribute="1" defaultMemberUniqueName="[SalesSpareParts 1].[Customer ID].[All]" allUniqueName="[SalesSpareParts 1].[Customer ID].[All]" dimensionUniqueName="[SalesSpareParts 1]" displayFolder="" count="0" memberValueDatatype="130" unbalanced="0"/>
    <cacheHierarchy uniqueName="[SalesSpareParts 1].[Quantity]" caption="Quantity" attribute="1" defaultMemberUniqueName="[SalesSpareParts 1].[Quantity].[All]" allUniqueName="[SalesSpareParts 1].[Quantity].[All]" dimensionUniqueName="[SalesSpareParts 1]" displayFolder="" count="0" memberValueDatatype="20" unbalanced="0"/>
    <cacheHierarchy uniqueName="[SalesSpareParts 1].[Sales Price]" caption="Sales Price" attribute="1" defaultMemberUniqueName="[SalesSpareParts 1].[Sales Price].[All]" allUniqueName="[SalesSpareParts 1].[Sales Price].[All]" dimensionUniqueName="[SalesSpareParts 1]" displayFolder="" count="0" memberValueDatatype="20" unbalanced="0"/>
    <cacheHierarchy uniqueName="[SalesSpareParts 1].[Alış dəyəri]" caption="Alış dəyəri" attribute="1" defaultMemberUniqueName="[SalesSpareParts 1].[Alış dəyəri].[All]" allUniqueName="[SalesSpareParts 1].[Alış dəyəri].[All]" dimensionUniqueName="[SalesSpareParts 1]" displayFolder="" count="0" memberValueDatatype="5" unbalanced="0"/>
    <cacheHierarchy uniqueName="[SalesSpareParts 1].[Ehtiyyat hissələrinin adı]" caption="Ehtiyyat hissələrinin adı" attribute="1" defaultMemberUniqueName="[SalesSpareParts 1].[Ehtiyyat hissələrinin adı].[All]" allUniqueName="[SalesSpareParts 1].[Ehtiyyat hissələrinin adı].[All]" dimensionUniqueName="[SalesSpareParts 1]" displayFolder="" count="2" memberValueDatatype="130" unbalanced="0">
      <fieldsUsage count="2">
        <fieldUsage x="-1"/>
        <fieldUsage x="3"/>
      </fieldsUsage>
    </cacheHierarchy>
    <cacheHierarchy uniqueName="[Measures].[Sum of Quantity]" caption="Sum of Quantity" measure="1" displayFolder="" measureGroup="SalesEquipment" count="0">
      <extLst>
        <ext xmlns:x15="http://schemas.microsoft.com/office/spreadsheetml/2010/11/main" uri="{B97F6D7D-B522-45F9-BDA1-12C45D357490}">
          <x15:cacheHierarchy aggregatedColumn="9"/>
        </ext>
      </extLst>
    </cacheHierarchy>
    <cacheHierarchy uniqueName="[Measures].[Sum of Quantity 2]" caption="Sum of Quantity 2" measure="1" displayFolder="" measureGroup="SalesEquipment 1" count="0" oneField="1">
      <fieldsUsage count="1">
        <fieldUsage x="2"/>
      </fieldsUsage>
      <extLst>
        <ext xmlns:x15="http://schemas.microsoft.com/office/spreadsheetml/2010/11/main" uri="{B97F6D7D-B522-45F9-BDA1-12C45D357490}">
          <x15:cacheHierarchy aggregatedColumn="16"/>
        </ext>
      </extLst>
    </cacheHierarchy>
    <cacheHierarchy uniqueName="[Measures].[Sum of Quantity 3]" caption="Sum of Quantity 3" measure="1" displayFolder="" measureGroup="SalesSpareParts 1" count="0">
      <extLst>
        <ext xmlns:x15="http://schemas.microsoft.com/office/spreadsheetml/2010/11/main" uri="{B97F6D7D-B522-45F9-BDA1-12C45D357490}">
          <x15:cacheHierarchy aggregatedColumn="30"/>
        </ext>
      </extLst>
    </cacheHierarchy>
    <cacheHierarchy uniqueName="[Measures].[Count of Last Date of Use]" caption="Count of Last Date of Use" measure="1" displayFolder="" measureGroup="SalesEquipment 1" count="0">
      <extLst>
        <ext xmlns:x15="http://schemas.microsoft.com/office/spreadsheetml/2010/11/main" uri="{B97F6D7D-B522-45F9-BDA1-12C45D357490}">
          <x15:cacheHierarchy aggregatedColumn="17"/>
        </ext>
      </extLst>
    </cacheHierarchy>
    <cacheHierarchy uniqueName="[Measures].[Total Revenue in Equipment]" caption="Total Revenue in Equipment" measure="1" displayFolder="" measureGroup="SalesEquipment 1" count="0"/>
    <cacheHierarchy uniqueName="[Measures].[Total Revenue in Spare Parts]" caption="Total Revenue in Spare Parts" measure="1" displayFolder="" measureGroup="SalesSpareParts 1" count="0"/>
    <cacheHierarchy uniqueName="[Measures].[Total Expense in Equipment]" caption="Total Expense in Equipment" measure="1" displayFolder="" measureGroup="SalesEquipment 1" count="0"/>
    <cacheHierarchy uniqueName="[Measures].[Net Revenue in Equipment]" caption="Net Revenue in Equipment" measure="1" displayFolder="" measureGroup="SalesEquipment 1" count="0"/>
    <cacheHierarchy uniqueName="[Measures].[Total Expense in Spare Parts]" caption="Total Expense in Spare Parts" measure="1" displayFolder="" measureGroup="SalesSpareParts 1" count="0"/>
    <cacheHierarchy uniqueName="[Measures].[Net Revenue in Spare Parts]" caption="Net Revenue in Spare Parts" measure="1" displayFolder="" measureGroup="SalesSpareParts 1" count="0"/>
    <cacheHierarchy uniqueName="[Measures].[__XL_Count SalesEquipment]" caption="__XL_Count SalesEquipment" measure="1" displayFolder="" measureGroup="SalesEquipment" count="0" hidden="1"/>
    <cacheHierarchy uniqueName="[Measures].[__XL_Count SalesSpareParts]" caption="__XL_Count SalesSpareParts" measure="1" displayFolder="" measureGroup="SalesSpareParts" count="0" hidden="1"/>
    <cacheHierarchy uniqueName="[Measures].[__XL_Count SalesEquipment 1]" caption="__XL_Count SalesEquipment 1" measure="1" displayFolder="" measureGroup="SalesEquipment 1" count="0" hidden="1"/>
    <cacheHierarchy uniqueName="[Measures].[__XL_Count SalesSpareParts 1]" caption="__XL_Count SalesSpareParts 1" measure="1" displayFolder="" measureGroup="SalesSpareParts 1" count="0" hidden="1"/>
    <cacheHierarchy uniqueName="[Measures].[__XL_Count Sales Calendar]" caption="__XL_Count Sales Calendar" measure="1" displayFolder="" measureGroup="Sales Calendar" count="0" hidden="1"/>
    <cacheHierarchy uniqueName="[Measures].[__No measures defined]" caption="__No measures defined" measure="1" displayFolder="" count="0" hidden="1"/>
  </cacheHierarchies>
  <kpis count="0"/>
  <dimensions count="6">
    <dimension measure="1" name="Measures" uniqueName="[Measures]" caption="Measures"/>
    <dimension name="Sales Calendar" uniqueName="[Sales Calendar]" caption="Sales Calendar"/>
    <dimension name="SalesEquipment" uniqueName="[SalesEquipment]" caption="SalesEquipment"/>
    <dimension name="SalesEquipment 1" uniqueName="[SalesEquipment 1]" caption="SalesEquipment 1"/>
    <dimension name="SalesSpareParts" uniqueName="[SalesSpareParts]" caption="SalesSpareParts"/>
    <dimension name="SalesSpareParts 1" uniqueName="[SalesSpareParts 1]" caption="SalesSpareParts 1"/>
  </dimensions>
  <measureGroups count="5">
    <measureGroup name="Sales Calendar" caption="Sales Calendar"/>
    <measureGroup name="SalesEquipment" caption="SalesEquipment"/>
    <measureGroup name="SalesEquipment 1" caption="SalesEquipment 1"/>
    <measureGroup name="SalesSpareParts" caption="SalesSpareParts"/>
    <measureGroup name="SalesSpareParts 1" caption="SalesSpareParts 1"/>
  </measureGroups>
  <maps count="7">
    <map measureGroup="0" dimension="1"/>
    <map measureGroup="1" dimension="2"/>
    <map measureGroup="2" dimension="1"/>
    <map measureGroup="2" dimension="3"/>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nan Gambarov" refreshedDate="45488.026151388891" backgroundQuery="1" createdVersion="8" refreshedVersion="8" minRefreshableVersion="3" recordCount="0" supportSubquery="1" supportAdvancedDrill="1" xr:uid="{96327517-D8B1-4458-84E8-56BEC36C9B5B}">
  <cacheSource type="external" connectionId="8"/>
  <cacheFields count="2">
    <cacheField name="[Measures].[Sum of Quantity 2]" caption="Sum of Quantity 2" numFmtId="0" hierarchy="35" level="32767"/>
    <cacheField name="[SalesSpareParts 1].[Ehtiyyat hissələrinin adı].[Ehtiyyat hissələrinin adı]" caption="Ehtiyyat hissələrinin adı" numFmtId="0" hierarchy="33" level="1">
      <sharedItems containsSemiMixedTypes="0" containsNonDate="0" containsString="0"/>
    </cacheField>
  </cacheFields>
  <cacheHierarchies count="50">
    <cacheHierarchy uniqueName="[Sales Calendar].[Sales Date]" caption="Sales Date" attribute="1" time="1" defaultMemberUniqueName="[Sales Calendar].[Sales Date].[All]" allUniqueName="[Sales Calendar].[Sales Date].[All]" dimensionUniqueName="[Sales Calendar]" displayFolder="" count="2" memberValueDatatype="7" unbalanced="0"/>
    <cacheHierarchy uniqueName="[Sales Calendar].[Year]" caption="Year" attribute="1" defaultMemberUniqueName="[Sales Calendar].[Year].[All]" allUniqueName="[Sales Calendar].[Year].[All]" dimensionUniqueName="[Sales Calendar]" displayFolder="" count="0" memberValueDatatype="20" unbalanced="0"/>
    <cacheHierarchy uniqueName="[Sales Calendar].[Month]" caption="Month" attribute="1" defaultMemberUniqueName="[Sales Calendar].[Month].[All]" allUniqueName="[Sales Calendar].[Month].[All]" dimensionUniqueName="[Sales Calendar]" displayFolder="" count="0" memberValueDatatype="20" unbalanced="0"/>
    <cacheHierarchy uniqueName="[Sales Calendar].[Month Name]" caption="Month Name" attribute="1" defaultMemberUniqueName="[Sales Calendar].[Month Name].[All]" allUniqueName="[Sales Calendar].[Month Name].[All]" dimensionUniqueName="[Sales Calendar]" displayFolder="" count="0" memberValueDatatype="130" unbalanced="0"/>
    <cacheHierarchy uniqueName="[SalesEquipment].[Sales ID]" caption="Sales ID" attribute="1" defaultMemberUniqueName="[SalesEquipment].[Sales ID].[All]" allUniqueName="[SalesEquipment].[Sales ID].[All]" dimensionUniqueName="[SalesEquipment]" displayFolder="" count="0" memberValueDatatype="130" unbalanced="0"/>
    <cacheHierarchy uniqueName="[SalesEquipment].[Sales Date]" caption="Sales Date" attribute="1" time="1" defaultMemberUniqueName="[SalesEquipment].[Sales Date].[All]" allUniqueName="[SalesEquipment].[Sales Date].[All]" dimensionUniqueName="[SalesEquipment]" displayFolder="" count="0" memberValueDatatype="7" unbalanced="0"/>
    <cacheHierarchy uniqueName="[SalesEquipment].[Equipment ID]" caption="Equipment ID" attribute="1" defaultMemberUniqueName="[SalesEquipment].[Equipment ID].[All]" allUniqueName="[SalesEquipment].[Equipment ID].[All]" dimensionUniqueName="[SalesEquipment]" displayFolder="" count="0" memberValueDatatype="130" unbalanced="0"/>
    <cacheHierarchy uniqueName="[SalesEquipment].[Customer ID]" caption="Customer ID" attribute="1" defaultMemberUniqueName="[SalesEquipment].[Customer ID].[All]" allUniqueName="[SalesEquipment].[Customer ID].[All]" dimensionUniqueName="[SalesEquipment]" displayFolder="" count="0" memberValueDatatype="130" unbalanced="0"/>
    <cacheHierarchy uniqueName="[SalesEquipment].[Sales Price]" caption="Sales Price" attribute="1" defaultMemberUniqueName="[SalesEquipment].[Sales Price].[All]" allUniqueName="[SalesEquipment].[Sales Price].[All]" dimensionUniqueName="[SalesEquipment]" displayFolder="" count="0" memberValueDatatype="20" unbalanced="0"/>
    <cacheHierarchy uniqueName="[SalesEquipment].[Quantity]" caption="Quantity" attribute="1" defaultMemberUniqueName="[SalesEquipment].[Quantity].[All]" allUniqueName="[SalesEquipment].[Quantity].[All]" dimensionUniqueName="[SalesEquipment]" displayFolder="" count="0" memberValueDatatype="20" unbalanced="0"/>
    <cacheHierarchy uniqueName="[SalesEquipment].[Last Date of Use]" caption="Last Date of Use" attribute="1" time="1" defaultMemberUniqueName="[SalesEquipment].[Last Date of Use].[All]" allUniqueName="[SalesEquipment].[Last Date of Use].[All]" dimensionUniqueName="[SalesEquipment]" displayFolder="" count="0" memberValueDatatype="7" unbalanced="0"/>
    <cacheHierarchy uniqueName="[SalesEquipment 1].[Sales ID]" caption="Sales ID" attribute="1" defaultMemberUniqueName="[SalesEquipment 1].[Sales ID].[All]" allUniqueName="[SalesEquipment 1].[Sales ID].[All]" dimensionUniqueName="[SalesEquipment 1]" displayFolder="" count="0" memberValueDatatype="130" unbalanced="0"/>
    <cacheHierarchy uniqueName="[SalesEquipment 1].[Sales Date]" caption="Sales Date" attribute="1" time="1" defaultMemberUniqueName="[SalesEquipment 1].[Sales Date].[All]" allUniqueName="[SalesEquipment 1].[Sales Date].[All]" dimensionUniqueName="[SalesEquipment 1]" displayFolder="" count="0" memberValueDatatype="7" unbalanced="0"/>
    <cacheHierarchy uniqueName="[SalesEquipment 1].[Equipment ID]" caption="Equipment ID" attribute="1" defaultMemberUniqueName="[SalesEquipment 1].[Equipment ID].[All]" allUniqueName="[SalesEquipment 1].[Equipment ID].[All]" dimensionUniqueName="[SalesEquipment 1]" displayFolder="" count="0" memberValueDatatype="130" unbalanced="0"/>
    <cacheHierarchy uniqueName="[SalesEquipment 1].[Customer ID]" caption="Customer ID" attribute="1" defaultMemberUniqueName="[SalesEquipment 1].[Customer ID].[All]" allUniqueName="[SalesEquipment 1].[Customer ID].[All]" dimensionUniqueName="[SalesEquipment 1]" displayFolder="" count="0" memberValueDatatype="130" unbalanced="0"/>
    <cacheHierarchy uniqueName="[SalesEquipment 1].[Sales Price]" caption="Sales Price" attribute="1" defaultMemberUniqueName="[SalesEquipment 1].[Sales Price].[All]" allUniqueName="[SalesEquipment 1].[Sales Price].[All]" dimensionUniqueName="[SalesEquipment 1]" displayFolder="" count="0" memberValueDatatype="20" unbalanced="0"/>
    <cacheHierarchy uniqueName="[SalesEquipment 1].[Quantity]" caption="Quantity" attribute="1" defaultMemberUniqueName="[SalesEquipment 1].[Quantity].[All]" allUniqueName="[SalesEquipment 1].[Quantity].[All]" dimensionUniqueName="[SalesEquipment 1]" displayFolder="" count="0" memberValueDatatype="20" unbalanced="0"/>
    <cacheHierarchy uniqueName="[SalesEquipment 1].[Last Date of Use]" caption="Last Date of Use" attribute="1" time="1" defaultMemberUniqueName="[SalesEquipment 1].[Last Date of Use].[All]" allUniqueName="[SalesEquipment 1].[Last Date of Use].[All]" dimensionUniqueName="[SalesEquipment 1]" displayFolder="" count="0" memberValueDatatype="7" unbalanced="0"/>
    <cacheHierarchy uniqueName="[SalesEquipment 1].[Alış dəyəri]" caption="Alış dəyəri" attribute="1" defaultMemberUniqueName="[SalesEquipment 1].[Alış dəyəri].[All]" allUniqueName="[SalesEquipment 1].[Alış dəyəri].[All]" dimensionUniqueName="[SalesEquipment 1]" displayFolder="" count="0" memberValueDatatype="5" unbalanced="0"/>
    <cacheHierarchy uniqueName="[SalesEquipment 1].[Avadanlığın adı]" caption="Avadanlığın adı" attribute="1" defaultMemberUniqueName="[SalesEquipment 1].[Avadanlığın adı].[All]" allUniqueName="[SalesEquipment 1].[Avadanlığın adı].[All]" dimensionUniqueName="[SalesEquipment 1]" displayFolder="" count="2" memberValueDatatype="130" unbalanced="0"/>
    <cacheHierarchy uniqueName="[SalesSpareParts].[Sales ID]" caption="Sales ID" attribute="1" defaultMemberUniqueName="[SalesSpareParts].[Sales ID].[All]" allUniqueName="[SalesSpareParts].[Sales ID].[All]" dimensionUniqueName="[SalesSpareParts]" displayFolder="" count="0" memberValueDatatype="130" unbalanced="0"/>
    <cacheHierarchy uniqueName="[SalesSpareParts].[Sales Date]" caption="Sales Date" attribute="1" time="1" defaultMemberUniqueName="[SalesSpareParts].[Sales Date].[All]" allUniqueName="[SalesSpareParts].[Sales Date].[All]" dimensionUniqueName="[SalesSpareParts]" displayFolder="" count="0" memberValueDatatype="7" unbalanced="0"/>
    <cacheHierarchy uniqueName="[SalesSpareParts].[Spare Part ID]" caption="Spare Part ID" attribute="1" defaultMemberUniqueName="[SalesSpareParts].[Spare Part ID].[All]" allUniqueName="[SalesSpareParts].[Spare Part ID].[All]" dimensionUniqueName="[SalesSpareParts]" displayFolder="" count="0" memberValueDatatype="130" unbalanced="0"/>
    <cacheHierarchy uniqueName="[SalesSpareParts].[Customer ID]" caption="Customer ID" attribute="1" defaultMemberUniqueName="[SalesSpareParts].[Customer ID].[All]" allUniqueName="[SalesSpareParts].[Customer ID].[All]" dimensionUniqueName="[SalesSpareParts]" displayFolder="" count="0" memberValueDatatype="130" unbalanced="0"/>
    <cacheHierarchy uniqueName="[SalesSpareParts].[Quantity]" caption="Quantity" attribute="1" defaultMemberUniqueName="[SalesSpareParts].[Quantity].[All]" allUniqueName="[SalesSpareParts].[Quantity].[All]" dimensionUniqueName="[SalesSpareParts]" displayFolder="" count="0" memberValueDatatype="20" unbalanced="0"/>
    <cacheHierarchy uniqueName="[SalesSpareParts].[Sales Price]" caption="Sales Price" attribute="1" defaultMemberUniqueName="[SalesSpareParts].[Sales Price].[All]" allUniqueName="[SalesSpareParts].[Sales Price].[All]" dimensionUniqueName="[SalesSpareParts]" displayFolder="" count="0" memberValueDatatype="20" unbalanced="0"/>
    <cacheHierarchy uniqueName="[SalesSpareParts 1].[Sales ID]" caption="Sales ID" attribute="1" defaultMemberUniqueName="[SalesSpareParts 1].[Sales ID].[All]" allUniqueName="[SalesSpareParts 1].[Sales ID].[All]" dimensionUniqueName="[SalesSpareParts 1]" displayFolder="" count="0" memberValueDatatype="130" unbalanced="0"/>
    <cacheHierarchy uniqueName="[SalesSpareParts 1].[Sales Date]" caption="Sales Date" attribute="1" time="1" defaultMemberUniqueName="[SalesSpareParts 1].[Sales Date].[All]" allUniqueName="[SalesSpareParts 1].[Sales Date].[All]" dimensionUniqueName="[SalesSpareParts 1]" displayFolder="" count="0" memberValueDatatype="7" unbalanced="0"/>
    <cacheHierarchy uniqueName="[SalesSpareParts 1].[Spare Part ID]" caption="Spare Part ID" attribute="1" defaultMemberUniqueName="[SalesSpareParts 1].[Spare Part ID].[All]" allUniqueName="[SalesSpareParts 1].[Spare Part ID].[All]" dimensionUniqueName="[SalesSpareParts 1]" displayFolder="" count="0" memberValueDatatype="130" unbalanced="0"/>
    <cacheHierarchy uniqueName="[SalesSpareParts 1].[Customer ID]" caption="Customer ID" attribute="1" defaultMemberUniqueName="[SalesSpareParts 1].[Customer ID].[All]" allUniqueName="[SalesSpareParts 1].[Customer ID].[All]" dimensionUniqueName="[SalesSpareParts 1]" displayFolder="" count="0" memberValueDatatype="130" unbalanced="0"/>
    <cacheHierarchy uniqueName="[SalesSpareParts 1].[Quantity]" caption="Quantity" attribute="1" defaultMemberUniqueName="[SalesSpareParts 1].[Quantity].[All]" allUniqueName="[SalesSpareParts 1].[Quantity].[All]" dimensionUniqueName="[SalesSpareParts 1]" displayFolder="" count="0" memberValueDatatype="20" unbalanced="0"/>
    <cacheHierarchy uniqueName="[SalesSpareParts 1].[Sales Price]" caption="Sales Price" attribute="1" defaultMemberUniqueName="[SalesSpareParts 1].[Sales Price].[All]" allUniqueName="[SalesSpareParts 1].[Sales Price].[All]" dimensionUniqueName="[SalesSpareParts 1]" displayFolder="" count="0" memberValueDatatype="20" unbalanced="0"/>
    <cacheHierarchy uniqueName="[SalesSpareParts 1].[Alış dəyəri]" caption="Alış dəyəri" attribute="1" defaultMemberUniqueName="[SalesSpareParts 1].[Alış dəyəri].[All]" allUniqueName="[SalesSpareParts 1].[Alış dəyəri].[All]" dimensionUniqueName="[SalesSpareParts 1]" displayFolder="" count="0" memberValueDatatype="5" unbalanced="0"/>
    <cacheHierarchy uniqueName="[SalesSpareParts 1].[Ehtiyyat hissələrinin adı]" caption="Ehtiyyat hissələrinin adı" attribute="1" defaultMemberUniqueName="[SalesSpareParts 1].[Ehtiyyat hissələrinin adı].[All]" allUniqueName="[SalesSpareParts 1].[Ehtiyyat hissələrinin adı].[All]" dimensionUniqueName="[SalesSpareParts 1]" displayFolder="" count="2" memberValueDatatype="130" unbalanced="0">
      <fieldsUsage count="2">
        <fieldUsage x="-1"/>
        <fieldUsage x="1"/>
      </fieldsUsage>
    </cacheHierarchy>
    <cacheHierarchy uniqueName="[Measures].[Sum of Quantity]" caption="Sum of Quantity" measure="1" displayFolder="" measureGroup="SalesEquipment" count="0">
      <extLst>
        <ext xmlns:x15="http://schemas.microsoft.com/office/spreadsheetml/2010/11/main" uri="{B97F6D7D-B522-45F9-BDA1-12C45D357490}">
          <x15:cacheHierarchy aggregatedColumn="9"/>
        </ext>
      </extLst>
    </cacheHierarchy>
    <cacheHierarchy uniqueName="[Measures].[Sum of Quantity 2]" caption="Sum of Quantity 2" measure="1" displayFolder="" measureGroup="SalesEquipment 1" count="0" oneField="1">
      <fieldsUsage count="1">
        <fieldUsage x="0"/>
      </fieldsUsage>
      <extLst>
        <ext xmlns:x15="http://schemas.microsoft.com/office/spreadsheetml/2010/11/main" uri="{B97F6D7D-B522-45F9-BDA1-12C45D357490}">
          <x15:cacheHierarchy aggregatedColumn="16"/>
        </ext>
      </extLst>
    </cacheHierarchy>
    <cacheHierarchy uniqueName="[Measures].[Sum of Quantity 3]" caption="Sum of Quantity 3" measure="1" displayFolder="" measureGroup="SalesSpareParts 1" count="0">
      <extLst>
        <ext xmlns:x15="http://schemas.microsoft.com/office/spreadsheetml/2010/11/main" uri="{B97F6D7D-B522-45F9-BDA1-12C45D357490}">
          <x15:cacheHierarchy aggregatedColumn="30"/>
        </ext>
      </extLst>
    </cacheHierarchy>
    <cacheHierarchy uniqueName="[Measures].[Count of Last Date of Use]" caption="Count of Last Date of Use" measure="1" displayFolder="" measureGroup="SalesEquipment 1" count="0">
      <extLst>
        <ext xmlns:x15="http://schemas.microsoft.com/office/spreadsheetml/2010/11/main" uri="{B97F6D7D-B522-45F9-BDA1-12C45D357490}">
          <x15:cacheHierarchy aggregatedColumn="17"/>
        </ext>
      </extLst>
    </cacheHierarchy>
    <cacheHierarchy uniqueName="[Measures].[Total Revenue in Equipment]" caption="Total Revenue in Equipment" measure="1" displayFolder="" measureGroup="SalesEquipment 1" count="0"/>
    <cacheHierarchy uniqueName="[Measures].[Total Revenue in Spare Parts]" caption="Total Revenue in Spare Parts" measure="1" displayFolder="" measureGroup="SalesSpareParts 1" count="0"/>
    <cacheHierarchy uniqueName="[Measures].[Total Expense in Equipment]" caption="Total Expense in Equipment" measure="1" displayFolder="" measureGroup="SalesEquipment 1" count="0"/>
    <cacheHierarchy uniqueName="[Measures].[Net Revenue in Equipment]" caption="Net Revenue in Equipment" measure="1" displayFolder="" measureGroup="SalesEquipment 1" count="0"/>
    <cacheHierarchy uniqueName="[Measures].[Total Expense in Spare Parts]" caption="Total Expense in Spare Parts" measure="1" displayFolder="" measureGroup="SalesSpareParts 1" count="0"/>
    <cacheHierarchy uniqueName="[Measures].[Net Revenue in Spare Parts]" caption="Net Revenue in Spare Parts" measure="1" displayFolder="" measureGroup="SalesSpareParts 1" count="0"/>
    <cacheHierarchy uniqueName="[Measures].[__XL_Count SalesEquipment]" caption="__XL_Count SalesEquipment" measure="1" displayFolder="" measureGroup="SalesEquipment" count="0" hidden="1"/>
    <cacheHierarchy uniqueName="[Measures].[__XL_Count SalesSpareParts]" caption="__XL_Count SalesSpareParts" measure="1" displayFolder="" measureGroup="SalesSpareParts" count="0" hidden="1"/>
    <cacheHierarchy uniqueName="[Measures].[__XL_Count SalesEquipment 1]" caption="__XL_Count SalesEquipment 1" measure="1" displayFolder="" measureGroup="SalesEquipment 1" count="0" hidden="1"/>
    <cacheHierarchy uniqueName="[Measures].[__XL_Count SalesSpareParts 1]" caption="__XL_Count SalesSpareParts 1" measure="1" displayFolder="" measureGroup="SalesSpareParts 1" count="0" hidden="1"/>
    <cacheHierarchy uniqueName="[Measures].[__XL_Count Sales Calendar]" caption="__XL_Count Sales Calendar" measure="1" displayFolder="" measureGroup="Sales Calendar" count="0" hidden="1"/>
    <cacheHierarchy uniqueName="[Measures].[__No measures defined]" caption="__No measures defined" measure="1" displayFolder="" count="0" hidden="1"/>
  </cacheHierarchies>
  <kpis count="0"/>
  <dimensions count="6">
    <dimension measure="1" name="Measures" uniqueName="[Measures]" caption="Measures"/>
    <dimension name="Sales Calendar" uniqueName="[Sales Calendar]" caption="Sales Calendar"/>
    <dimension name="SalesEquipment" uniqueName="[SalesEquipment]" caption="SalesEquipment"/>
    <dimension name="SalesEquipment 1" uniqueName="[SalesEquipment 1]" caption="SalesEquipment 1"/>
    <dimension name="SalesSpareParts" uniqueName="[SalesSpareParts]" caption="SalesSpareParts"/>
    <dimension name="SalesSpareParts 1" uniqueName="[SalesSpareParts 1]" caption="SalesSpareParts 1"/>
  </dimensions>
  <measureGroups count="5">
    <measureGroup name="Sales Calendar" caption="Sales Calendar"/>
    <measureGroup name="SalesEquipment" caption="SalesEquipment"/>
    <measureGroup name="SalesEquipment 1" caption="SalesEquipment 1"/>
    <measureGroup name="SalesSpareParts" caption="SalesSpareParts"/>
    <measureGroup name="SalesSpareParts 1" caption="SalesSpareParts 1"/>
  </measureGroups>
  <maps count="7">
    <map measureGroup="0" dimension="1"/>
    <map measureGroup="1" dimension="2"/>
    <map measureGroup="2" dimension="1"/>
    <map measureGroup="2" dimension="3"/>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nan Gambarov" refreshedDate="45488.026151388891" backgroundQuery="1" createdVersion="8" refreshedVersion="8" minRefreshableVersion="3" recordCount="0" supportSubquery="1" supportAdvancedDrill="1" xr:uid="{F49240FB-96E9-44F6-B668-A77333B4FDB0}">
  <cacheSource type="external" connectionId="8"/>
  <cacheFields count="2">
    <cacheField name="[Measures].[Sum of Quantity 3]" caption="Sum of Quantity 3" numFmtId="0" hierarchy="36" level="32767"/>
    <cacheField name="[SalesSpareParts 1].[Ehtiyyat hissələrinin adı].[Ehtiyyat hissələrinin adı]" caption="Ehtiyyat hissələrinin adı" numFmtId="0" hierarchy="33" level="1">
      <sharedItems containsSemiMixedTypes="0" containsNonDate="0" containsString="0"/>
    </cacheField>
  </cacheFields>
  <cacheHierarchies count="50">
    <cacheHierarchy uniqueName="[Sales Calendar].[Sales Date]" caption="Sales Date" attribute="1" time="1" defaultMemberUniqueName="[Sales Calendar].[Sales Date].[All]" allUniqueName="[Sales Calendar].[Sales Date].[All]" dimensionUniqueName="[Sales Calendar]" displayFolder="" count="2" memberValueDatatype="7" unbalanced="0"/>
    <cacheHierarchy uniqueName="[Sales Calendar].[Year]" caption="Year" attribute="1" defaultMemberUniqueName="[Sales Calendar].[Year].[All]" allUniqueName="[Sales Calendar].[Year].[All]" dimensionUniqueName="[Sales Calendar]" displayFolder="" count="0" memberValueDatatype="20" unbalanced="0"/>
    <cacheHierarchy uniqueName="[Sales Calendar].[Month]" caption="Month" attribute="1" defaultMemberUniqueName="[Sales Calendar].[Month].[All]" allUniqueName="[Sales Calendar].[Month].[All]" dimensionUniqueName="[Sales Calendar]" displayFolder="" count="0" memberValueDatatype="20" unbalanced="0"/>
    <cacheHierarchy uniqueName="[Sales Calendar].[Month Name]" caption="Month Name" attribute="1" defaultMemberUniqueName="[Sales Calendar].[Month Name].[All]" allUniqueName="[Sales Calendar].[Month Name].[All]" dimensionUniqueName="[Sales Calendar]" displayFolder="" count="0" memberValueDatatype="130" unbalanced="0"/>
    <cacheHierarchy uniqueName="[SalesEquipment].[Sales ID]" caption="Sales ID" attribute="1" defaultMemberUniqueName="[SalesEquipment].[Sales ID].[All]" allUniqueName="[SalesEquipment].[Sales ID].[All]" dimensionUniqueName="[SalesEquipment]" displayFolder="" count="0" memberValueDatatype="130" unbalanced="0"/>
    <cacheHierarchy uniqueName="[SalesEquipment].[Sales Date]" caption="Sales Date" attribute="1" time="1" defaultMemberUniqueName="[SalesEquipment].[Sales Date].[All]" allUniqueName="[SalesEquipment].[Sales Date].[All]" dimensionUniqueName="[SalesEquipment]" displayFolder="" count="0" memberValueDatatype="7" unbalanced="0"/>
    <cacheHierarchy uniqueName="[SalesEquipment].[Equipment ID]" caption="Equipment ID" attribute="1" defaultMemberUniqueName="[SalesEquipment].[Equipment ID].[All]" allUniqueName="[SalesEquipment].[Equipment ID].[All]" dimensionUniqueName="[SalesEquipment]" displayFolder="" count="0" memberValueDatatype="130" unbalanced="0"/>
    <cacheHierarchy uniqueName="[SalesEquipment].[Customer ID]" caption="Customer ID" attribute="1" defaultMemberUniqueName="[SalesEquipment].[Customer ID].[All]" allUniqueName="[SalesEquipment].[Customer ID].[All]" dimensionUniqueName="[SalesEquipment]" displayFolder="" count="0" memberValueDatatype="130" unbalanced="0"/>
    <cacheHierarchy uniqueName="[SalesEquipment].[Sales Price]" caption="Sales Price" attribute="1" defaultMemberUniqueName="[SalesEquipment].[Sales Price].[All]" allUniqueName="[SalesEquipment].[Sales Price].[All]" dimensionUniqueName="[SalesEquipment]" displayFolder="" count="0" memberValueDatatype="20" unbalanced="0"/>
    <cacheHierarchy uniqueName="[SalesEquipment].[Quantity]" caption="Quantity" attribute="1" defaultMemberUniqueName="[SalesEquipment].[Quantity].[All]" allUniqueName="[SalesEquipment].[Quantity].[All]" dimensionUniqueName="[SalesEquipment]" displayFolder="" count="0" memberValueDatatype="20" unbalanced="0"/>
    <cacheHierarchy uniqueName="[SalesEquipment].[Last Date of Use]" caption="Last Date of Use" attribute="1" time="1" defaultMemberUniqueName="[SalesEquipment].[Last Date of Use].[All]" allUniqueName="[SalesEquipment].[Last Date of Use].[All]" dimensionUniqueName="[SalesEquipment]" displayFolder="" count="0" memberValueDatatype="7" unbalanced="0"/>
    <cacheHierarchy uniqueName="[SalesEquipment 1].[Sales ID]" caption="Sales ID" attribute="1" defaultMemberUniqueName="[SalesEquipment 1].[Sales ID].[All]" allUniqueName="[SalesEquipment 1].[Sales ID].[All]" dimensionUniqueName="[SalesEquipment 1]" displayFolder="" count="0" memberValueDatatype="130" unbalanced="0"/>
    <cacheHierarchy uniqueName="[SalesEquipment 1].[Sales Date]" caption="Sales Date" attribute="1" time="1" defaultMemberUniqueName="[SalesEquipment 1].[Sales Date].[All]" allUniqueName="[SalesEquipment 1].[Sales Date].[All]" dimensionUniqueName="[SalesEquipment 1]" displayFolder="" count="0" memberValueDatatype="7" unbalanced="0"/>
    <cacheHierarchy uniqueName="[SalesEquipment 1].[Equipment ID]" caption="Equipment ID" attribute="1" defaultMemberUniqueName="[SalesEquipment 1].[Equipment ID].[All]" allUniqueName="[SalesEquipment 1].[Equipment ID].[All]" dimensionUniqueName="[SalesEquipment 1]" displayFolder="" count="0" memberValueDatatype="130" unbalanced="0"/>
    <cacheHierarchy uniqueName="[SalesEquipment 1].[Customer ID]" caption="Customer ID" attribute="1" defaultMemberUniqueName="[SalesEquipment 1].[Customer ID].[All]" allUniqueName="[SalesEquipment 1].[Customer ID].[All]" dimensionUniqueName="[SalesEquipment 1]" displayFolder="" count="0" memberValueDatatype="130" unbalanced="0"/>
    <cacheHierarchy uniqueName="[SalesEquipment 1].[Sales Price]" caption="Sales Price" attribute="1" defaultMemberUniqueName="[SalesEquipment 1].[Sales Price].[All]" allUniqueName="[SalesEquipment 1].[Sales Price].[All]" dimensionUniqueName="[SalesEquipment 1]" displayFolder="" count="0" memberValueDatatype="20" unbalanced="0"/>
    <cacheHierarchy uniqueName="[SalesEquipment 1].[Quantity]" caption="Quantity" attribute="1" defaultMemberUniqueName="[SalesEquipment 1].[Quantity].[All]" allUniqueName="[SalesEquipment 1].[Quantity].[All]" dimensionUniqueName="[SalesEquipment 1]" displayFolder="" count="0" memberValueDatatype="20" unbalanced="0"/>
    <cacheHierarchy uniqueName="[SalesEquipment 1].[Last Date of Use]" caption="Last Date of Use" attribute="1" time="1" defaultMemberUniqueName="[SalesEquipment 1].[Last Date of Use].[All]" allUniqueName="[SalesEquipment 1].[Last Date of Use].[All]" dimensionUniqueName="[SalesEquipment 1]" displayFolder="" count="0" memberValueDatatype="7" unbalanced="0"/>
    <cacheHierarchy uniqueName="[SalesEquipment 1].[Alış dəyəri]" caption="Alış dəyəri" attribute="1" defaultMemberUniqueName="[SalesEquipment 1].[Alış dəyəri].[All]" allUniqueName="[SalesEquipment 1].[Alış dəyəri].[All]" dimensionUniqueName="[SalesEquipment 1]" displayFolder="" count="0" memberValueDatatype="5" unbalanced="0"/>
    <cacheHierarchy uniqueName="[SalesEquipment 1].[Avadanlığın adı]" caption="Avadanlığın adı" attribute="1" defaultMemberUniqueName="[SalesEquipment 1].[Avadanlığın adı].[All]" allUniqueName="[SalesEquipment 1].[Avadanlığın adı].[All]" dimensionUniqueName="[SalesEquipment 1]" displayFolder="" count="2" memberValueDatatype="130" unbalanced="0"/>
    <cacheHierarchy uniqueName="[SalesSpareParts].[Sales ID]" caption="Sales ID" attribute="1" defaultMemberUniqueName="[SalesSpareParts].[Sales ID].[All]" allUniqueName="[SalesSpareParts].[Sales ID].[All]" dimensionUniqueName="[SalesSpareParts]" displayFolder="" count="0" memberValueDatatype="130" unbalanced="0"/>
    <cacheHierarchy uniqueName="[SalesSpareParts].[Sales Date]" caption="Sales Date" attribute="1" time="1" defaultMemberUniqueName="[SalesSpareParts].[Sales Date].[All]" allUniqueName="[SalesSpareParts].[Sales Date].[All]" dimensionUniqueName="[SalesSpareParts]" displayFolder="" count="0" memberValueDatatype="7" unbalanced="0"/>
    <cacheHierarchy uniqueName="[SalesSpareParts].[Spare Part ID]" caption="Spare Part ID" attribute="1" defaultMemberUniqueName="[SalesSpareParts].[Spare Part ID].[All]" allUniqueName="[SalesSpareParts].[Spare Part ID].[All]" dimensionUniqueName="[SalesSpareParts]" displayFolder="" count="0" memberValueDatatype="130" unbalanced="0"/>
    <cacheHierarchy uniqueName="[SalesSpareParts].[Customer ID]" caption="Customer ID" attribute="1" defaultMemberUniqueName="[SalesSpareParts].[Customer ID].[All]" allUniqueName="[SalesSpareParts].[Customer ID].[All]" dimensionUniqueName="[SalesSpareParts]" displayFolder="" count="0" memberValueDatatype="130" unbalanced="0"/>
    <cacheHierarchy uniqueName="[SalesSpareParts].[Quantity]" caption="Quantity" attribute="1" defaultMemberUniqueName="[SalesSpareParts].[Quantity].[All]" allUniqueName="[SalesSpareParts].[Quantity].[All]" dimensionUniqueName="[SalesSpareParts]" displayFolder="" count="0" memberValueDatatype="20" unbalanced="0"/>
    <cacheHierarchy uniqueName="[SalesSpareParts].[Sales Price]" caption="Sales Price" attribute="1" defaultMemberUniqueName="[SalesSpareParts].[Sales Price].[All]" allUniqueName="[SalesSpareParts].[Sales Price].[All]" dimensionUniqueName="[SalesSpareParts]" displayFolder="" count="0" memberValueDatatype="20" unbalanced="0"/>
    <cacheHierarchy uniqueName="[SalesSpareParts 1].[Sales ID]" caption="Sales ID" attribute="1" defaultMemberUniqueName="[SalesSpareParts 1].[Sales ID].[All]" allUniqueName="[SalesSpareParts 1].[Sales ID].[All]" dimensionUniqueName="[SalesSpareParts 1]" displayFolder="" count="0" memberValueDatatype="130" unbalanced="0"/>
    <cacheHierarchy uniqueName="[SalesSpareParts 1].[Sales Date]" caption="Sales Date" attribute="1" time="1" defaultMemberUniqueName="[SalesSpareParts 1].[Sales Date].[All]" allUniqueName="[SalesSpareParts 1].[Sales Date].[All]" dimensionUniqueName="[SalesSpareParts 1]" displayFolder="" count="0" memberValueDatatype="7" unbalanced="0"/>
    <cacheHierarchy uniqueName="[SalesSpareParts 1].[Spare Part ID]" caption="Spare Part ID" attribute="1" defaultMemberUniqueName="[SalesSpareParts 1].[Spare Part ID].[All]" allUniqueName="[SalesSpareParts 1].[Spare Part ID].[All]" dimensionUniqueName="[SalesSpareParts 1]" displayFolder="" count="0" memberValueDatatype="130" unbalanced="0"/>
    <cacheHierarchy uniqueName="[SalesSpareParts 1].[Customer ID]" caption="Customer ID" attribute="1" defaultMemberUniqueName="[SalesSpareParts 1].[Customer ID].[All]" allUniqueName="[SalesSpareParts 1].[Customer ID].[All]" dimensionUniqueName="[SalesSpareParts 1]" displayFolder="" count="0" memberValueDatatype="130" unbalanced="0"/>
    <cacheHierarchy uniqueName="[SalesSpareParts 1].[Quantity]" caption="Quantity" attribute="1" defaultMemberUniqueName="[SalesSpareParts 1].[Quantity].[All]" allUniqueName="[SalesSpareParts 1].[Quantity].[All]" dimensionUniqueName="[SalesSpareParts 1]" displayFolder="" count="0" memberValueDatatype="20" unbalanced="0"/>
    <cacheHierarchy uniqueName="[SalesSpareParts 1].[Sales Price]" caption="Sales Price" attribute="1" defaultMemberUniqueName="[SalesSpareParts 1].[Sales Price].[All]" allUniqueName="[SalesSpareParts 1].[Sales Price].[All]" dimensionUniqueName="[SalesSpareParts 1]" displayFolder="" count="0" memberValueDatatype="20" unbalanced="0"/>
    <cacheHierarchy uniqueName="[SalesSpareParts 1].[Alış dəyəri]" caption="Alış dəyəri" attribute="1" defaultMemberUniqueName="[SalesSpareParts 1].[Alış dəyəri].[All]" allUniqueName="[SalesSpareParts 1].[Alış dəyəri].[All]" dimensionUniqueName="[SalesSpareParts 1]" displayFolder="" count="0" memberValueDatatype="5" unbalanced="0"/>
    <cacheHierarchy uniqueName="[SalesSpareParts 1].[Ehtiyyat hissələrinin adı]" caption="Ehtiyyat hissələrinin adı" attribute="1" defaultMemberUniqueName="[SalesSpareParts 1].[Ehtiyyat hissələrinin adı].[All]" allUniqueName="[SalesSpareParts 1].[Ehtiyyat hissələrinin adı].[All]" dimensionUniqueName="[SalesSpareParts 1]" displayFolder="" count="2" memberValueDatatype="130" unbalanced="0">
      <fieldsUsage count="2">
        <fieldUsage x="-1"/>
        <fieldUsage x="1"/>
      </fieldsUsage>
    </cacheHierarchy>
    <cacheHierarchy uniqueName="[Measures].[Sum of Quantity]" caption="Sum of Quantity" measure="1" displayFolder="" measureGroup="SalesEquipment" count="0">
      <extLst>
        <ext xmlns:x15="http://schemas.microsoft.com/office/spreadsheetml/2010/11/main" uri="{B97F6D7D-B522-45F9-BDA1-12C45D357490}">
          <x15:cacheHierarchy aggregatedColumn="9"/>
        </ext>
      </extLst>
    </cacheHierarchy>
    <cacheHierarchy uniqueName="[Measures].[Sum of Quantity 2]" caption="Sum of Quantity 2" measure="1" displayFolder="" measureGroup="SalesEquipment 1" count="0">
      <extLst>
        <ext xmlns:x15="http://schemas.microsoft.com/office/spreadsheetml/2010/11/main" uri="{B97F6D7D-B522-45F9-BDA1-12C45D357490}">
          <x15:cacheHierarchy aggregatedColumn="16"/>
        </ext>
      </extLst>
    </cacheHierarchy>
    <cacheHierarchy uniqueName="[Measures].[Sum of Quantity 3]" caption="Sum of Quantity 3" measure="1" displayFolder="" measureGroup="SalesSpareParts 1" count="0" oneField="1">
      <fieldsUsage count="1">
        <fieldUsage x="0"/>
      </fieldsUsage>
      <extLst>
        <ext xmlns:x15="http://schemas.microsoft.com/office/spreadsheetml/2010/11/main" uri="{B97F6D7D-B522-45F9-BDA1-12C45D357490}">
          <x15:cacheHierarchy aggregatedColumn="30"/>
        </ext>
      </extLst>
    </cacheHierarchy>
    <cacheHierarchy uniqueName="[Measures].[Count of Last Date of Use]" caption="Count of Last Date of Use" measure="1" displayFolder="" measureGroup="SalesEquipment 1" count="0">
      <extLst>
        <ext xmlns:x15="http://schemas.microsoft.com/office/spreadsheetml/2010/11/main" uri="{B97F6D7D-B522-45F9-BDA1-12C45D357490}">
          <x15:cacheHierarchy aggregatedColumn="17"/>
        </ext>
      </extLst>
    </cacheHierarchy>
    <cacheHierarchy uniqueName="[Measures].[Total Revenue in Equipment]" caption="Total Revenue in Equipment" measure="1" displayFolder="" measureGroup="SalesEquipment 1" count="0"/>
    <cacheHierarchy uniqueName="[Measures].[Total Revenue in Spare Parts]" caption="Total Revenue in Spare Parts" measure="1" displayFolder="" measureGroup="SalesSpareParts 1" count="0"/>
    <cacheHierarchy uniqueName="[Measures].[Total Expense in Equipment]" caption="Total Expense in Equipment" measure="1" displayFolder="" measureGroup="SalesEquipment 1" count="0"/>
    <cacheHierarchy uniqueName="[Measures].[Net Revenue in Equipment]" caption="Net Revenue in Equipment" measure="1" displayFolder="" measureGroup="SalesEquipment 1" count="0"/>
    <cacheHierarchy uniqueName="[Measures].[Total Expense in Spare Parts]" caption="Total Expense in Spare Parts" measure="1" displayFolder="" measureGroup="SalesSpareParts 1" count="0"/>
    <cacheHierarchy uniqueName="[Measures].[Net Revenue in Spare Parts]" caption="Net Revenue in Spare Parts" measure="1" displayFolder="" measureGroup="SalesSpareParts 1" count="0"/>
    <cacheHierarchy uniqueName="[Measures].[__XL_Count SalesEquipment]" caption="__XL_Count SalesEquipment" measure="1" displayFolder="" measureGroup="SalesEquipment" count="0" hidden="1"/>
    <cacheHierarchy uniqueName="[Measures].[__XL_Count SalesSpareParts]" caption="__XL_Count SalesSpareParts" measure="1" displayFolder="" measureGroup="SalesSpareParts" count="0" hidden="1"/>
    <cacheHierarchy uniqueName="[Measures].[__XL_Count SalesEquipment 1]" caption="__XL_Count SalesEquipment 1" measure="1" displayFolder="" measureGroup="SalesEquipment 1" count="0" hidden="1"/>
    <cacheHierarchy uniqueName="[Measures].[__XL_Count SalesSpareParts 1]" caption="__XL_Count SalesSpareParts 1" measure="1" displayFolder="" measureGroup="SalesSpareParts 1" count="0" hidden="1"/>
    <cacheHierarchy uniqueName="[Measures].[__XL_Count Sales Calendar]" caption="__XL_Count Sales Calendar" measure="1" displayFolder="" measureGroup="Sales Calendar" count="0" hidden="1"/>
    <cacheHierarchy uniqueName="[Measures].[__No measures defined]" caption="__No measures defined" measure="1" displayFolder="" count="0" hidden="1"/>
  </cacheHierarchies>
  <kpis count="0"/>
  <dimensions count="6">
    <dimension measure="1" name="Measures" uniqueName="[Measures]" caption="Measures"/>
    <dimension name="Sales Calendar" uniqueName="[Sales Calendar]" caption="Sales Calendar"/>
    <dimension name="SalesEquipment" uniqueName="[SalesEquipment]" caption="SalesEquipment"/>
    <dimension name="SalesEquipment 1" uniqueName="[SalesEquipment 1]" caption="SalesEquipment 1"/>
    <dimension name="SalesSpareParts" uniqueName="[SalesSpareParts]" caption="SalesSpareParts"/>
    <dimension name="SalesSpareParts 1" uniqueName="[SalesSpareParts 1]" caption="SalesSpareParts 1"/>
  </dimensions>
  <measureGroups count="5">
    <measureGroup name="Sales Calendar" caption="Sales Calendar"/>
    <measureGroup name="SalesEquipment" caption="SalesEquipment"/>
    <measureGroup name="SalesEquipment 1" caption="SalesEquipment 1"/>
    <measureGroup name="SalesSpareParts" caption="SalesSpareParts"/>
    <measureGroup name="SalesSpareParts 1" caption="SalesSpareParts 1"/>
  </measureGroups>
  <maps count="7">
    <map measureGroup="0" dimension="1"/>
    <map measureGroup="1" dimension="2"/>
    <map measureGroup="2" dimension="1"/>
    <map measureGroup="2" dimension="3"/>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nan Gambarov" refreshedDate="45488.018356712964" backgroundQuery="1" createdVersion="3" refreshedVersion="8" minRefreshableVersion="3" recordCount="0" supportSubquery="1" supportAdvancedDrill="1" xr:uid="{9F5E4572-09B3-4323-B0F9-723F72D34FB8}">
  <cacheSource type="external" connectionId="8">
    <extLst>
      <ext xmlns:x14="http://schemas.microsoft.com/office/spreadsheetml/2009/9/main" uri="{F057638F-6D5F-4e77-A914-E7F072B9BCA8}">
        <x14:sourceConnection name="ThisWorkbookDataModel"/>
      </ext>
    </extLst>
  </cacheSource>
  <cacheFields count="0"/>
  <cacheHierarchies count="50">
    <cacheHierarchy uniqueName="[Sales Calendar].[Sales Date]" caption="Sales Date" attribute="1" time="1" defaultMemberUniqueName="[Sales Calendar].[Sales Date].[All]" allUniqueName="[Sales Calendar].[Sales Date].[All]" dimensionUniqueName="[Sales Calendar]" displayFolder="" count="0" memberValueDatatype="7" unbalanced="0"/>
    <cacheHierarchy uniqueName="[Sales Calendar].[Year]" caption="Year" attribute="1" defaultMemberUniqueName="[Sales Calendar].[Year].[All]" allUniqueName="[Sales Calendar].[Year].[All]" dimensionUniqueName="[Sales Calendar]" displayFolder="" count="0" memberValueDatatype="20" unbalanced="0"/>
    <cacheHierarchy uniqueName="[Sales Calendar].[Month]" caption="Month" attribute="1" defaultMemberUniqueName="[Sales Calendar].[Month].[All]" allUniqueName="[Sales Calendar].[Month].[All]" dimensionUniqueName="[Sales Calendar]" displayFolder="" count="0" memberValueDatatype="20" unbalanced="0"/>
    <cacheHierarchy uniqueName="[Sales Calendar].[Month Name]" caption="Month Name" attribute="1" defaultMemberUniqueName="[Sales Calendar].[Month Name].[All]" allUniqueName="[Sales Calendar].[Month Name].[All]" dimensionUniqueName="[Sales Calendar]" displayFolder="" count="0" memberValueDatatype="130" unbalanced="0"/>
    <cacheHierarchy uniqueName="[SalesEquipment].[Sales ID]" caption="Sales ID" attribute="1" defaultMemberUniqueName="[SalesEquipment].[Sales ID].[All]" allUniqueName="[SalesEquipment].[Sales ID].[All]" dimensionUniqueName="[SalesEquipment]" displayFolder="" count="0" memberValueDatatype="130" unbalanced="0"/>
    <cacheHierarchy uniqueName="[SalesEquipment].[Sales Date]" caption="Sales Date" attribute="1" time="1" defaultMemberUniqueName="[SalesEquipment].[Sales Date].[All]" allUniqueName="[SalesEquipment].[Sales Date].[All]" dimensionUniqueName="[SalesEquipment]" displayFolder="" count="0" memberValueDatatype="7" unbalanced="0"/>
    <cacheHierarchy uniqueName="[SalesEquipment].[Equipment ID]" caption="Equipment ID" attribute="1" defaultMemberUniqueName="[SalesEquipment].[Equipment ID].[All]" allUniqueName="[SalesEquipment].[Equipment ID].[All]" dimensionUniqueName="[SalesEquipment]" displayFolder="" count="0" memberValueDatatype="130" unbalanced="0"/>
    <cacheHierarchy uniqueName="[SalesEquipment].[Customer ID]" caption="Customer ID" attribute="1" defaultMemberUniqueName="[SalesEquipment].[Customer ID].[All]" allUniqueName="[SalesEquipment].[Customer ID].[All]" dimensionUniqueName="[SalesEquipment]" displayFolder="" count="0" memberValueDatatype="130" unbalanced="0"/>
    <cacheHierarchy uniqueName="[SalesEquipment].[Sales Price]" caption="Sales Price" attribute="1" defaultMemberUniqueName="[SalesEquipment].[Sales Price].[All]" allUniqueName="[SalesEquipment].[Sales Price].[All]" dimensionUniqueName="[SalesEquipment]" displayFolder="" count="0" memberValueDatatype="20" unbalanced="0"/>
    <cacheHierarchy uniqueName="[SalesEquipment].[Quantity]" caption="Quantity" attribute="1" defaultMemberUniqueName="[SalesEquipment].[Quantity].[All]" allUniqueName="[SalesEquipment].[Quantity].[All]" dimensionUniqueName="[SalesEquipment]" displayFolder="" count="0" memberValueDatatype="20" unbalanced="0"/>
    <cacheHierarchy uniqueName="[SalesEquipment].[Last Date of Use]" caption="Last Date of Use" attribute="1" time="1" defaultMemberUniqueName="[SalesEquipment].[Last Date of Use].[All]" allUniqueName="[SalesEquipment].[Last Date of Use].[All]" dimensionUniqueName="[SalesEquipment]" displayFolder="" count="0" memberValueDatatype="7" unbalanced="0"/>
    <cacheHierarchy uniqueName="[SalesEquipment 1].[Sales ID]" caption="Sales ID" attribute="1" defaultMemberUniqueName="[SalesEquipment 1].[Sales ID].[All]" allUniqueName="[SalesEquipment 1].[Sales ID].[All]" dimensionUniqueName="[SalesEquipment 1]" displayFolder="" count="0" memberValueDatatype="130" unbalanced="0"/>
    <cacheHierarchy uniqueName="[SalesEquipment 1].[Sales Date]" caption="Sales Date" attribute="1" time="1" defaultMemberUniqueName="[SalesEquipment 1].[Sales Date].[All]" allUniqueName="[SalesEquipment 1].[Sales Date].[All]" dimensionUniqueName="[SalesEquipment 1]" displayFolder="" count="0" memberValueDatatype="7" unbalanced="0"/>
    <cacheHierarchy uniqueName="[SalesEquipment 1].[Equipment ID]" caption="Equipment ID" attribute="1" defaultMemberUniqueName="[SalesEquipment 1].[Equipment ID].[All]" allUniqueName="[SalesEquipment 1].[Equipment ID].[All]" dimensionUniqueName="[SalesEquipment 1]" displayFolder="" count="0" memberValueDatatype="130" unbalanced="0"/>
    <cacheHierarchy uniqueName="[SalesEquipment 1].[Customer ID]" caption="Customer ID" attribute="1" defaultMemberUniqueName="[SalesEquipment 1].[Customer ID].[All]" allUniqueName="[SalesEquipment 1].[Customer ID].[All]" dimensionUniqueName="[SalesEquipment 1]" displayFolder="" count="0" memberValueDatatype="130" unbalanced="0"/>
    <cacheHierarchy uniqueName="[SalesEquipment 1].[Sales Price]" caption="Sales Price" attribute="1" defaultMemberUniqueName="[SalesEquipment 1].[Sales Price].[All]" allUniqueName="[SalesEquipment 1].[Sales Price].[All]" dimensionUniqueName="[SalesEquipment 1]" displayFolder="" count="0" memberValueDatatype="20" unbalanced="0"/>
    <cacheHierarchy uniqueName="[SalesEquipment 1].[Quantity]" caption="Quantity" attribute="1" defaultMemberUniqueName="[SalesEquipment 1].[Quantity].[All]" allUniqueName="[SalesEquipment 1].[Quantity].[All]" dimensionUniqueName="[SalesEquipment 1]" displayFolder="" count="0" memberValueDatatype="20" unbalanced="0"/>
    <cacheHierarchy uniqueName="[SalesEquipment 1].[Last Date of Use]" caption="Last Date of Use" attribute="1" time="1" defaultMemberUniqueName="[SalesEquipment 1].[Last Date of Use].[All]" allUniqueName="[SalesEquipment 1].[Last Date of Use].[All]" dimensionUniqueName="[SalesEquipment 1]" displayFolder="" count="0" memberValueDatatype="7" unbalanced="0"/>
    <cacheHierarchy uniqueName="[SalesEquipment 1].[Alış dəyəri]" caption="Alış dəyəri" attribute="1" defaultMemberUniqueName="[SalesEquipment 1].[Alış dəyəri].[All]" allUniqueName="[SalesEquipment 1].[Alış dəyəri].[All]" dimensionUniqueName="[SalesEquipment 1]" displayFolder="" count="0" memberValueDatatype="5" unbalanced="0"/>
    <cacheHierarchy uniqueName="[SalesEquipment 1].[Avadanlığın adı]" caption="Avadanlığın adı" attribute="1" defaultMemberUniqueName="[SalesEquipment 1].[Avadanlığın adı].[All]" allUniqueName="[SalesEquipment 1].[Avadanlığın adı].[All]" dimensionUniqueName="[SalesEquipment 1]" displayFolder="" count="2" memberValueDatatype="130" unbalanced="0"/>
    <cacheHierarchy uniqueName="[SalesSpareParts].[Sales ID]" caption="Sales ID" attribute="1" defaultMemberUniqueName="[SalesSpareParts].[Sales ID].[All]" allUniqueName="[SalesSpareParts].[Sales ID].[All]" dimensionUniqueName="[SalesSpareParts]" displayFolder="" count="0" memberValueDatatype="130" unbalanced="0"/>
    <cacheHierarchy uniqueName="[SalesSpareParts].[Sales Date]" caption="Sales Date" attribute="1" time="1" defaultMemberUniqueName="[SalesSpareParts].[Sales Date].[All]" allUniqueName="[SalesSpareParts].[Sales Date].[All]" dimensionUniqueName="[SalesSpareParts]" displayFolder="" count="0" memberValueDatatype="7" unbalanced="0"/>
    <cacheHierarchy uniqueName="[SalesSpareParts].[Spare Part ID]" caption="Spare Part ID" attribute="1" defaultMemberUniqueName="[SalesSpareParts].[Spare Part ID].[All]" allUniqueName="[SalesSpareParts].[Spare Part ID].[All]" dimensionUniqueName="[SalesSpareParts]" displayFolder="" count="0" memberValueDatatype="130" unbalanced="0"/>
    <cacheHierarchy uniqueName="[SalesSpareParts].[Customer ID]" caption="Customer ID" attribute="1" defaultMemberUniqueName="[SalesSpareParts].[Customer ID].[All]" allUniqueName="[SalesSpareParts].[Customer ID].[All]" dimensionUniqueName="[SalesSpareParts]" displayFolder="" count="0" memberValueDatatype="130" unbalanced="0"/>
    <cacheHierarchy uniqueName="[SalesSpareParts].[Quantity]" caption="Quantity" attribute="1" defaultMemberUniqueName="[SalesSpareParts].[Quantity].[All]" allUniqueName="[SalesSpareParts].[Quantity].[All]" dimensionUniqueName="[SalesSpareParts]" displayFolder="" count="0" memberValueDatatype="20" unbalanced="0"/>
    <cacheHierarchy uniqueName="[SalesSpareParts].[Sales Price]" caption="Sales Price" attribute="1" defaultMemberUniqueName="[SalesSpareParts].[Sales Price].[All]" allUniqueName="[SalesSpareParts].[Sales Price].[All]" dimensionUniqueName="[SalesSpareParts]" displayFolder="" count="0" memberValueDatatype="20" unbalanced="0"/>
    <cacheHierarchy uniqueName="[SalesSpareParts 1].[Sales ID]" caption="Sales ID" attribute="1" defaultMemberUniqueName="[SalesSpareParts 1].[Sales ID].[All]" allUniqueName="[SalesSpareParts 1].[Sales ID].[All]" dimensionUniqueName="[SalesSpareParts 1]" displayFolder="" count="0" memberValueDatatype="130" unbalanced="0"/>
    <cacheHierarchy uniqueName="[SalesSpareParts 1].[Sales Date]" caption="Sales Date" attribute="1" time="1" defaultMemberUniqueName="[SalesSpareParts 1].[Sales Date].[All]" allUniqueName="[SalesSpareParts 1].[Sales Date].[All]" dimensionUniqueName="[SalesSpareParts 1]" displayFolder="" count="0" memberValueDatatype="7" unbalanced="0"/>
    <cacheHierarchy uniqueName="[SalesSpareParts 1].[Spare Part ID]" caption="Spare Part ID" attribute="1" defaultMemberUniqueName="[SalesSpareParts 1].[Spare Part ID].[All]" allUniqueName="[SalesSpareParts 1].[Spare Part ID].[All]" dimensionUniqueName="[SalesSpareParts 1]" displayFolder="" count="0" memberValueDatatype="130" unbalanced="0"/>
    <cacheHierarchy uniqueName="[SalesSpareParts 1].[Customer ID]" caption="Customer ID" attribute="1" defaultMemberUniqueName="[SalesSpareParts 1].[Customer ID].[All]" allUniqueName="[SalesSpareParts 1].[Customer ID].[All]" dimensionUniqueName="[SalesSpareParts 1]" displayFolder="" count="0" memberValueDatatype="130" unbalanced="0"/>
    <cacheHierarchy uniqueName="[SalesSpareParts 1].[Quantity]" caption="Quantity" attribute="1" defaultMemberUniqueName="[SalesSpareParts 1].[Quantity].[All]" allUniqueName="[SalesSpareParts 1].[Quantity].[All]" dimensionUniqueName="[SalesSpareParts 1]" displayFolder="" count="0" memberValueDatatype="20" unbalanced="0"/>
    <cacheHierarchy uniqueName="[SalesSpareParts 1].[Sales Price]" caption="Sales Price" attribute="1" defaultMemberUniqueName="[SalesSpareParts 1].[Sales Price].[All]" allUniqueName="[SalesSpareParts 1].[Sales Price].[All]" dimensionUniqueName="[SalesSpareParts 1]" displayFolder="" count="0" memberValueDatatype="20" unbalanced="0"/>
    <cacheHierarchy uniqueName="[SalesSpareParts 1].[Alış dəyəri]" caption="Alış dəyəri" attribute="1" defaultMemberUniqueName="[SalesSpareParts 1].[Alış dəyəri].[All]" allUniqueName="[SalesSpareParts 1].[Alış dəyəri].[All]" dimensionUniqueName="[SalesSpareParts 1]" displayFolder="" count="0" memberValueDatatype="5" unbalanced="0"/>
    <cacheHierarchy uniqueName="[SalesSpareParts 1].[Ehtiyyat hissələrinin adı]" caption="Ehtiyyat hissələrinin adı" attribute="1" defaultMemberUniqueName="[SalesSpareParts 1].[Ehtiyyat hissələrinin adı].[All]" allUniqueName="[SalesSpareParts 1].[Ehtiyyat hissələrinin adı].[All]" dimensionUniqueName="[SalesSpareParts 1]" displayFolder="" count="2" memberValueDatatype="130" unbalanced="0"/>
    <cacheHierarchy uniqueName="[Measures].[Sum of Quantity]" caption="Sum of Quantity" measure="1" displayFolder="" measureGroup="SalesEquipment" count="0">
      <extLst>
        <ext xmlns:x15="http://schemas.microsoft.com/office/spreadsheetml/2010/11/main" uri="{B97F6D7D-B522-45F9-BDA1-12C45D357490}">
          <x15:cacheHierarchy aggregatedColumn="9"/>
        </ext>
      </extLst>
    </cacheHierarchy>
    <cacheHierarchy uniqueName="[Measures].[Sum of Quantity 2]" caption="Sum of Quantity 2" measure="1" displayFolder="" measureGroup="SalesEquipment 1" count="0">
      <extLst>
        <ext xmlns:x15="http://schemas.microsoft.com/office/spreadsheetml/2010/11/main" uri="{B97F6D7D-B522-45F9-BDA1-12C45D357490}">
          <x15:cacheHierarchy aggregatedColumn="16"/>
        </ext>
      </extLst>
    </cacheHierarchy>
    <cacheHierarchy uniqueName="[Measures].[Sum of Quantity 3]" caption="Sum of Quantity 3" measure="1" displayFolder="" measureGroup="SalesSpareParts 1" count="0">
      <extLst>
        <ext xmlns:x15="http://schemas.microsoft.com/office/spreadsheetml/2010/11/main" uri="{B97F6D7D-B522-45F9-BDA1-12C45D357490}">
          <x15:cacheHierarchy aggregatedColumn="30"/>
        </ext>
      </extLst>
    </cacheHierarchy>
    <cacheHierarchy uniqueName="[Measures].[Count of Last Date of Use]" caption="Count of Last Date of Use" measure="1" displayFolder="" measureGroup="SalesEquipment 1" count="0">
      <extLst>
        <ext xmlns:x15="http://schemas.microsoft.com/office/spreadsheetml/2010/11/main" uri="{B97F6D7D-B522-45F9-BDA1-12C45D357490}">
          <x15:cacheHierarchy aggregatedColumn="17"/>
        </ext>
      </extLst>
    </cacheHierarchy>
    <cacheHierarchy uniqueName="[Measures].[Total Revenue in Equipment]" caption="Total Revenue in Equipment" measure="1" displayFolder="" measureGroup="SalesEquipment 1" count="0"/>
    <cacheHierarchy uniqueName="[Measures].[Total Revenue in Spare Parts]" caption="Total Revenue in Spare Parts" measure="1" displayFolder="" measureGroup="SalesSpareParts 1" count="0"/>
    <cacheHierarchy uniqueName="[Measures].[Total Expense in Equipment]" caption="Total Expense in Equipment" measure="1" displayFolder="" measureGroup="SalesEquipment 1" count="0"/>
    <cacheHierarchy uniqueName="[Measures].[Net Revenue in Equipment]" caption="Net Revenue in Equipment" measure="1" displayFolder="" measureGroup="SalesEquipment 1" count="0"/>
    <cacheHierarchy uniqueName="[Measures].[Total Expense in Spare Parts]" caption="Total Expense in Spare Parts" measure="1" displayFolder="" measureGroup="SalesSpareParts 1" count="0"/>
    <cacheHierarchy uniqueName="[Measures].[Net Revenue in Spare Parts]" caption="Net Revenue in Spare Parts" measure="1" displayFolder="" measureGroup="SalesSpareParts 1" count="0"/>
    <cacheHierarchy uniqueName="[Measures].[__XL_Count SalesEquipment]" caption="__XL_Count SalesEquipment" measure="1" displayFolder="" measureGroup="SalesEquipment" count="0" hidden="1"/>
    <cacheHierarchy uniqueName="[Measures].[__XL_Count SalesSpareParts]" caption="__XL_Count SalesSpareParts" measure="1" displayFolder="" measureGroup="SalesSpareParts" count="0" hidden="1"/>
    <cacheHierarchy uniqueName="[Measures].[__XL_Count SalesEquipment 1]" caption="__XL_Count SalesEquipment 1" measure="1" displayFolder="" measureGroup="SalesEquipment 1" count="0" hidden="1"/>
    <cacheHierarchy uniqueName="[Measures].[__XL_Count SalesSpareParts 1]" caption="__XL_Count SalesSpareParts 1" measure="1" displayFolder="" measureGroup="SalesSpareParts 1" count="0" hidden="1"/>
    <cacheHierarchy uniqueName="[Measures].[__XL_Count Sales Calendar]" caption="__XL_Count Sales Calendar" measure="1" displayFolder="" measureGroup="Sales Calendar"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873646104"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nan Gambarov" refreshedDate="45488.018357175926" backgroundQuery="1" createdVersion="3" refreshedVersion="8" minRefreshableVersion="3" recordCount="0" supportSubquery="1" supportAdvancedDrill="1" xr:uid="{EF7FE8A8-FF50-4AC4-BA78-A1982945CF6F}">
  <cacheSource type="external" connectionId="8">
    <extLst>
      <ext xmlns:x14="http://schemas.microsoft.com/office/spreadsheetml/2009/9/main" uri="{F057638F-6D5F-4e77-A914-E7F072B9BCA8}">
        <x14:sourceConnection name="ThisWorkbookDataModel"/>
      </ext>
    </extLst>
  </cacheSource>
  <cacheFields count="0"/>
  <cacheHierarchies count="50">
    <cacheHierarchy uniqueName="[Sales Calendar].[Sales Date]" caption="Sales Date" attribute="1" time="1" defaultMemberUniqueName="[Sales Calendar].[Sales Date].[All]" allUniqueName="[Sales Calendar].[Sales Date].[All]" dimensionUniqueName="[Sales Calendar]" displayFolder="" count="2" memberValueDatatype="7" unbalanced="0"/>
    <cacheHierarchy uniqueName="[Sales Calendar].[Year]" caption="Year" attribute="1" defaultMemberUniqueName="[Sales Calendar].[Year].[All]" allUniqueName="[Sales Calendar].[Year].[All]" dimensionUniqueName="[Sales Calendar]" displayFolder="" count="0" memberValueDatatype="20" unbalanced="0"/>
    <cacheHierarchy uniqueName="[Sales Calendar].[Month]" caption="Month" attribute="1" defaultMemberUniqueName="[Sales Calendar].[Month].[All]" allUniqueName="[Sales Calendar].[Month].[All]" dimensionUniqueName="[Sales Calendar]" displayFolder="" count="0" memberValueDatatype="20" unbalanced="0"/>
    <cacheHierarchy uniqueName="[Sales Calendar].[Month Name]" caption="Month Name" attribute="1" defaultMemberUniqueName="[Sales Calendar].[Month Name].[All]" allUniqueName="[Sales Calendar].[Month Name].[All]" dimensionUniqueName="[Sales Calendar]" displayFolder="" count="0" memberValueDatatype="130" unbalanced="0"/>
    <cacheHierarchy uniqueName="[SalesEquipment].[Sales ID]" caption="Sales ID" attribute="1" defaultMemberUniqueName="[SalesEquipment].[Sales ID].[All]" allUniqueName="[SalesEquipment].[Sales ID].[All]" dimensionUniqueName="[SalesEquipment]" displayFolder="" count="0" memberValueDatatype="130" unbalanced="0"/>
    <cacheHierarchy uniqueName="[SalesEquipment].[Sales Date]" caption="Sales Date" attribute="1" time="1" defaultMemberUniqueName="[SalesEquipment].[Sales Date].[All]" allUniqueName="[SalesEquipment].[Sales Date].[All]" dimensionUniqueName="[SalesEquipment]" displayFolder="" count="0" memberValueDatatype="7" unbalanced="0"/>
    <cacheHierarchy uniqueName="[SalesEquipment].[Equipment ID]" caption="Equipment ID" attribute="1" defaultMemberUniqueName="[SalesEquipment].[Equipment ID].[All]" allUniqueName="[SalesEquipment].[Equipment ID].[All]" dimensionUniqueName="[SalesEquipment]" displayFolder="" count="0" memberValueDatatype="130" unbalanced="0"/>
    <cacheHierarchy uniqueName="[SalesEquipment].[Customer ID]" caption="Customer ID" attribute="1" defaultMemberUniqueName="[SalesEquipment].[Customer ID].[All]" allUniqueName="[SalesEquipment].[Customer ID].[All]" dimensionUniqueName="[SalesEquipment]" displayFolder="" count="0" memberValueDatatype="130" unbalanced="0"/>
    <cacheHierarchy uniqueName="[SalesEquipment].[Sales Price]" caption="Sales Price" attribute="1" defaultMemberUniqueName="[SalesEquipment].[Sales Price].[All]" allUniqueName="[SalesEquipment].[Sales Price].[All]" dimensionUniqueName="[SalesEquipment]" displayFolder="" count="0" memberValueDatatype="20" unbalanced="0"/>
    <cacheHierarchy uniqueName="[SalesEquipment].[Quantity]" caption="Quantity" attribute="1" defaultMemberUniqueName="[SalesEquipment].[Quantity].[All]" allUniqueName="[SalesEquipment].[Quantity].[All]" dimensionUniqueName="[SalesEquipment]" displayFolder="" count="0" memberValueDatatype="20" unbalanced="0"/>
    <cacheHierarchy uniqueName="[SalesEquipment].[Last Date of Use]" caption="Last Date of Use" attribute="1" time="1" defaultMemberUniqueName="[SalesEquipment].[Last Date of Use].[All]" allUniqueName="[SalesEquipment].[Last Date of Use].[All]" dimensionUniqueName="[SalesEquipment]" displayFolder="" count="0" memberValueDatatype="7" unbalanced="0"/>
    <cacheHierarchy uniqueName="[SalesEquipment 1].[Sales ID]" caption="Sales ID" attribute="1" defaultMemberUniqueName="[SalesEquipment 1].[Sales ID].[All]" allUniqueName="[SalesEquipment 1].[Sales ID].[All]" dimensionUniqueName="[SalesEquipment 1]" displayFolder="" count="0" memberValueDatatype="130" unbalanced="0"/>
    <cacheHierarchy uniqueName="[SalesEquipment 1].[Sales Date]" caption="Sales Date" attribute="1" time="1" defaultMemberUniqueName="[SalesEquipment 1].[Sales Date].[All]" allUniqueName="[SalesEquipment 1].[Sales Date].[All]" dimensionUniqueName="[SalesEquipment 1]" displayFolder="" count="0" memberValueDatatype="7" unbalanced="0"/>
    <cacheHierarchy uniqueName="[SalesEquipment 1].[Equipment ID]" caption="Equipment ID" attribute="1" defaultMemberUniqueName="[SalesEquipment 1].[Equipment ID].[All]" allUniqueName="[SalesEquipment 1].[Equipment ID].[All]" dimensionUniqueName="[SalesEquipment 1]" displayFolder="" count="0" memberValueDatatype="130" unbalanced="0"/>
    <cacheHierarchy uniqueName="[SalesEquipment 1].[Customer ID]" caption="Customer ID" attribute="1" defaultMemberUniqueName="[SalesEquipment 1].[Customer ID].[All]" allUniqueName="[SalesEquipment 1].[Customer ID].[All]" dimensionUniqueName="[SalesEquipment 1]" displayFolder="" count="0" memberValueDatatype="130" unbalanced="0"/>
    <cacheHierarchy uniqueName="[SalesEquipment 1].[Sales Price]" caption="Sales Price" attribute="1" defaultMemberUniqueName="[SalesEquipment 1].[Sales Price].[All]" allUniqueName="[SalesEquipment 1].[Sales Price].[All]" dimensionUniqueName="[SalesEquipment 1]" displayFolder="" count="0" memberValueDatatype="20" unbalanced="0"/>
    <cacheHierarchy uniqueName="[SalesEquipment 1].[Quantity]" caption="Quantity" attribute="1" defaultMemberUniqueName="[SalesEquipment 1].[Quantity].[All]" allUniqueName="[SalesEquipment 1].[Quantity].[All]" dimensionUniqueName="[SalesEquipment 1]" displayFolder="" count="0" memberValueDatatype="20" unbalanced="0"/>
    <cacheHierarchy uniqueName="[SalesEquipment 1].[Last Date of Use]" caption="Last Date of Use" attribute="1" time="1" defaultMemberUniqueName="[SalesEquipment 1].[Last Date of Use].[All]" allUniqueName="[SalesEquipment 1].[Last Date of Use].[All]" dimensionUniqueName="[SalesEquipment 1]" displayFolder="" count="0" memberValueDatatype="7" unbalanced="0"/>
    <cacheHierarchy uniqueName="[SalesEquipment 1].[Alış dəyəri]" caption="Alış dəyəri" attribute="1" defaultMemberUniqueName="[SalesEquipment 1].[Alış dəyəri].[All]" allUniqueName="[SalesEquipment 1].[Alış dəyəri].[All]" dimensionUniqueName="[SalesEquipment 1]" displayFolder="" count="0" memberValueDatatype="5" unbalanced="0"/>
    <cacheHierarchy uniqueName="[SalesEquipment 1].[Avadanlığın adı]" caption="Avadanlığın adı" attribute="1" defaultMemberUniqueName="[SalesEquipment 1].[Avadanlığın adı].[All]" allUniqueName="[SalesEquipment 1].[Avadanlığın adı].[All]" dimensionUniqueName="[SalesEquipment 1]" displayFolder="" count="0" memberValueDatatype="130" unbalanced="0"/>
    <cacheHierarchy uniqueName="[SalesSpareParts].[Sales ID]" caption="Sales ID" attribute="1" defaultMemberUniqueName="[SalesSpareParts].[Sales ID].[All]" allUniqueName="[SalesSpareParts].[Sales ID].[All]" dimensionUniqueName="[SalesSpareParts]" displayFolder="" count="0" memberValueDatatype="130" unbalanced="0"/>
    <cacheHierarchy uniqueName="[SalesSpareParts].[Sales Date]" caption="Sales Date" attribute="1" time="1" defaultMemberUniqueName="[SalesSpareParts].[Sales Date].[All]" allUniqueName="[SalesSpareParts].[Sales Date].[All]" dimensionUniqueName="[SalesSpareParts]" displayFolder="" count="0" memberValueDatatype="7" unbalanced="0"/>
    <cacheHierarchy uniqueName="[SalesSpareParts].[Spare Part ID]" caption="Spare Part ID" attribute="1" defaultMemberUniqueName="[SalesSpareParts].[Spare Part ID].[All]" allUniqueName="[SalesSpareParts].[Spare Part ID].[All]" dimensionUniqueName="[SalesSpareParts]" displayFolder="" count="0" memberValueDatatype="130" unbalanced="0"/>
    <cacheHierarchy uniqueName="[SalesSpareParts].[Customer ID]" caption="Customer ID" attribute="1" defaultMemberUniqueName="[SalesSpareParts].[Customer ID].[All]" allUniqueName="[SalesSpareParts].[Customer ID].[All]" dimensionUniqueName="[SalesSpareParts]" displayFolder="" count="0" memberValueDatatype="130" unbalanced="0"/>
    <cacheHierarchy uniqueName="[SalesSpareParts].[Quantity]" caption="Quantity" attribute="1" defaultMemberUniqueName="[SalesSpareParts].[Quantity].[All]" allUniqueName="[SalesSpareParts].[Quantity].[All]" dimensionUniqueName="[SalesSpareParts]" displayFolder="" count="0" memberValueDatatype="20" unbalanced="0"/>
    <cacheHierarchy uniqueName="[SalesSpareParts].[Sales Price]" caption="Sales Price" attribute="1" defaultMemberUniqueName="[SalesSpareParts].[Sales Price].[All]" allUniqueName="[SalesSpareParts].[Sales Price].[All]" dimensionUniqueName="[SalesSpareParts]" displayFolder="" count="0" memberValueDatatype="20" unbalanced="0"/>
    <cacheHierarchy uniqueName="[SalesSpareParts 1].[Sales ID]" caption="Sales ID" attribute="1" defaultMemberUniqueName="[SalesSpareParts 1].[Sales ID].[All]" allUniqueName="[SalesSpareParts 1].[Sales ID].[All]" dimensionUniqueName="[SalesSpareParts 1]" displayFolder="" count="0" memberValueDatatype="130" unbalanced="0"/>
    <cacheHierarchy uniqueName="[SalesSpareParts 1].[Sales Date]" caption="Sales Date" attribute="1" time="1" defaultMemberUniqueName="[SalesSpareParts 1].[Sales Date].[All]" allUniqueName="[SalesSpareParts 1].[Sales Date].[All]" dimensionUniqueName="[SalesSpareParts 1]" displayFolder="" count="0" memberValueDatatype="7" unbalanced="0"/>
    <cacheHierarchy uniqueName="[SalesSpareParts 1].[Spare Part ID]" caption="Spare Part ID" attribute="1" defaultMemberUniqueName="[SalesSpareParts 1].[Spare Part ID].[All]" allUniqueName="[SalesSpareParts 1].[Spare Part ID].[All]" dimensionUniqueName="[SalesSpareParts 1]" displayFolder="" count="0" memberValueDatatype="130" unbalanced="0"/>
    <cacheHierarchy uniqueName="[SalesSpareParts 1].[Customer ID]" caption="Customer ID" attribute="1" defaultMemberUniqueName="[SalesSpareParts 1].[Customer ID].[All]" allUniqueName="[SalesSpareParts 1].[Customer ID].[All]" dimensionUniqueName="[SalesSpareParts 1]" displayFolder="" count="0" memberValueDatatype="130" unbalanced="0"/>
    <cacheHierarchy uniqueName="[SalesSpareParts 1].[Quantity]" caption="Quantity" attribute="1" defaultMemberUniqueName="[SalesSpareParts 1].[Quantity].[All]" allUniqueName="[SalesSpareParts 1].[Quantity].[All]" dimensionUniqueName="[SalesSpareParts 1]" displayFolder="" count="0" memberValueDatatype="20" unbalanced="0"/>
    <cacheHierarchy uniqueName="[SalesSpareParts 1].[Sales Price]" caption="Sales Price" attribute="1" defaultMemberUniqueName="[SalesSpareParts 1].[Sales Price].[All]" allUniqueName="[SalesSpareParts 1].[Sales Price].[All]" dimensionUniqueName="[SalesSpareParts 1]" displayFolder="" count="0" memberValueDatatype="20" unbalanced="0"/>
    <cacheHierarchy uniqueName="[SalesSpareParts 1].[Alış dəyəri]" caption="Alış dəyəri" attribute="1" defaultMemberUniqueName="[SalesSpareParts 1].[Alış dəyəri].[All]" allUniqueName="[SalesSpareParts 1].[Alış dəyəri].[All]" dimensionUniqueName="[SalesSpareParts 1]" displayFolder="" count="0" memberValueDatatype="5" unbalanced="0"/>
    <cacheHierarchy uniqueName="[SalesSpareParts 1].[Ehtiyyat hissələrinin adı]" caption="Ehtiyyat hissələrinin adı" attribute="1" defaultMemberUniqueName="[SalesSpareParts 1].[Ehtiyyat hissələrinin adı].[All]" allUniqueName="[SalesSpareParts 1].[Ehtiyyat hissələrinin adı].[All]" dimensionUniqueName="[SalesSpareParts 1]" displayFolder="" count="0" memberValueDatatype="130" unbalanced="0"/>
    <cacheHierarchy uniqueName="[Measures].[Sum of Quantity]" caption="Sum of Quantity" measure="1" displayFolder="" measureGroup="SalesEquipment" count="0">
      <extLst>
        <ext xmlns:x15="http://schemas.microsoft.com/office/spreadsheetml/2010/11/main" uri="{B97F6D7D-B522-45F9-BDA1-12C45D357490}">
          <x15:cacheHierarchy aggregatedColumn="9"/>
        </ext>
      </extLst>
    </cacheHierarchy>
    <cacheHierarchy uniqueName="[Measures].[Sum of Quantity 2]" caption="Sum of Quantity 2" measure="1" displayFolder="" measureGroup="SalesEquipment 1" count="0">
      <extLst>
        <ext xmlns:x15="http://schemas.microsoft.com/office/spreadsheetml/2010/11/main" uri="{B97F6D7D-B522-45F9-BDA1-12C45D357490}">
          <x15:cacheHierarchy aggregatedColumn="16"/>
        </ext>
      </extLst>
    </cacheHierarchy>
    <cacheHierarchy uniqueName="[Measures].[Sum of Quantity 3]" caption="Sum of Quantity 3" measure="1" displayFolder="" measureGroup="SalesSpareParts 1" count="0">
      <extLst>
        <ext xmlns:x15="http://schemas.microsoft.com/office/spreadsheetml/2010/11/main" uri="{B97F6D7D-B522-45F9-BDA1-12C45D357490}">
          <x15:cacheHierarchy aggregatedColumn="30"/>
        </ext>
      </extLst>
    </cacheHierarchy>
    <cacheHierarchy uniqueName="[Measures].[Count of Last Date of Use]" caption="Count of Last Date of Use" measure="1" displayFolder="" measureGroup="SalesEquipment 1" count="0">
      <extLst>
        <ext xmlns:x15="http://schemas.microsoft.com/office/spreadsheetml/2010/11/main" uri="{B97F6D7D-B522-45F9-BDA1-12C45D357490}">
          <x15:cacheHierarchy aggregatedColumn="17"/>
        </ext>
      </extLst>
    </cacheHierarchy>
    <cacheHierarchy uniqueName="[Measures].[Total Revenue in Equipment]" caption="Total Revenue in Equipment" measure="1" displayFolder="" measureGroup="SalesEquipment 1" count="0"/>
    <cacheHierarchy uniqueName="[Measures].[Total Revenue in Spare Parts]" caption="Total Revenue in Spare Parts" measure="1" displayFolder="" measureGroup="SalesSpareParts 1" count="0"/>
    <cacheHierarchy uniqueName="[Measures].[Total Expense in Equipment]" caption="Total Expense in Equipment" measure="1" displayFolder="" measureGroup="SalesEquipment 1" count="0"/>
    <cacheHierarchy uniqueName="[Measures].[Net Revenue in Equipment]" caption="Net Revenue in Equipment" measure="1" displayFolder="" measureGroup="SalesEquipment 1" count="0"/>
    <cacheHierarchy uniqueName="[Measures].[Total Expense in Spare Parts]" caption="Total Expense in Spare Parts" measure="1" displayFolder="" measureGroup="SalesSpareParts 1" count="0"/>
    <cacheHierarchy uniqueName="[Measures].[Net Revenue in Spare Parts]" caption="Net Revenue in Spare Parts" measure="1" displayFolder="" measureGroup="SalesSpareParts 1" count="0"/>
    <cacheHierarchy uniqueName="[Measures].[__XL_Count SalesEquipment]" caption="__XL_Count SalesEquipment" measure="1" displayFolder="" measureGroup="SalesEquipment" count="0" hidden="1"/>
    <cacheHierarchy uniqueName="[Measures].[__XL_Count SalesSpareParts]" caption="__XL_Count SalesSpareParts" measure="1" displayFolder="" measureGroup="SalesSpareParts" count="0" hidden="1"/>
    <cacheHierarchy uniqueName="[Measures].[__XL_Count SalesEquipment 1]" caption="__XL_Count SalesEquipment 1" measure="1" displayFolder="" measureGroup="SalesEquipment 1" count="0" hidden="1"/>
    <cacheHierarchy uniqueName="[Measures].[__XL_Count SalesSpareParts 1]" caption="__XL_Count SalesSpareParts 1" measure="1" displayFolder="" measureGroup="SalesSpareParts 1" count="0" hidden="1"/>
    <cacheHierarchy uniqueName="[Measures].[__XL_Count Sales Calendar]" caption="__XL_Count Sales Calendar" measure="1" displayFolder="" measureGroup="Sales Calendar"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pivotCacheId="1575324687"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BFB10C8-A27E-4889-9EAA-573039C13BC4}" name="PivotTable11" cacheId="1237"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19">
  <location ref="AE6:AF7" firstHeaderRow="0" firstDataRow="1" firstDataCol="0"/>
  <pivotFields count="4">
    <pivotField allDrilled="1" subtotalTop="0" showAll="0" sortType="ascending" defaultSubtotal="0" defaultAttributeDrillState="1">
      <items count="3">
        <item x="2"/>
        <item x="1"/>
        <item x="0"/>
      </items>
    </pivotField>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name="Avadanlıq" fld="1" subtotal="count" baseField="0" baseItem="0"/>
    <dataField name="Ehtiyyat hissələri" fld="2" subtotal="count" baseField="0" baseItem="0"/>
  </dataFields>
  <chartFormats count="6">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4" format="4" series="1">
      <pivotArea type="data" outline="0" fieldPosition="0">
        <references count="1">
          <reference field="4294967294" count="1" selected="0">
            <x v="0"/>
          </reference>
        </references>
      </pivotArea>
    </chartFormat>
    <chartFormat chart="14" format="5" series="1">
      <pivotArea type="data" outline="0" fieldPosition="0">
        <references count="1">
          <reference field="4294967294" count="1" selected="0">
            <x v="1"/>
          </reference>
        </references>
      </pivotArea>
    </chartFormat>
    <chartFormat chart="18" format="4" series="1">
      <pivotArea type="data" outline="0" fieldPosition="0">
        <references count="1">
          <reference field="4294967294" count="1" selected="0">
            <x v="0"/>
          </reference>
        </references>
      </pivotArea>
    </chartFormat>
    <chartFormat chart="18" format="5" series="1">
      <pivotArea type="data" outline="0" fieldPosition="0">
        <references count="1">
          <reference field="4294967294" count="1" selected="0">
            <x v="1"/>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caption="Avadanlıq üzrə gəlir"/>
    <pivotHierarchy dragToRow="0" dragToCol="0" dragToPage="0" dragToData="1" caption="Ehtiyyat hissələri üzrə gəlir"/>
    <pivotHierarchy dragToRow="0" dragToCol="0" dragToPage="0" dragToData="1"/>
    <pivotHierarchy dragToRow="0" dragToCol="0" dragToPage="0" dragToData="1" caption="Avadanlıq"/>
    <pivotHierarchy dragToRow="0" dragToCol="0" dragToPage="0" dragToData="1"/>
    <pivotHierarchy dragToRow="0" dragToCol="0" dragToPage="0" dragToData="1" caption="Ehtiyyat hissələri"/>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Equipment 1]"/>
        <x15:activeTabTopLevelEntity name="[SalesSpareParts 1]"/>
        <x15:activeTabTopLevelEntity name="[Sales 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65D9C05-551F-4F75-AC62-98AFDD01C20F}" name="PivotTable6" cacheId="1234"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16">
  <location ref="AA6:AC14" firstHeaderRow="0" firstDataRow="1" firstDataCol="1"/>
  <pivotFields count="5">
    <pivotField axis="axisRow" allDrilled="1" subtotalTop="0" showAll="0" sortType="ascending" defaultSubtotal="0" defaultAttributeDrillState="1">
      <items count="3">
        <item x="2"/>
        <item x="1"/>
        <item x="0"/>
      </items>
    </pivotField>
    <pivotField axis="axisRow" allDrilled="1" subtotalTop="0" showAll="0" dataSourceSort="1" defaultSubtotal="0" defaultAttributeDrillState="1">
      <items count="2">
        <item x="0"/>
        <item x="1"/>
      </items>
    </pivotField>
    <pivotField dataField="1" subtotalTop="0" showAll="0" defaultSubtotal="0"/>
    <pivotField dataField="1" subtotalTop="0" showAll="0" defaultSubtotal="0"/>
    <pivotField allDrilled="1" subtotalTop="0" showAll="0" dataSourceSort="1" defaultSubtotal="0" defaultAttributeDrillState="1"/>
  </pivotFields>
  <rowFields count="2">
    <field x="1"/>
    <field x="0"/>
  </rowFields>
  <rowItems count="8">
    <i>
      <x/>
    </i>
    <i r="1">
      <x v="1"/>
    </i>
    <i r="1">
      <x v="2"/>
    </i>
    <i>
      <x v="1"/>
    </i>
    <i r="1">
      <x/>
    </i>
    <i r="1">
      <x v="1"/>
    </i>
    <i r="1">
      <x v="2"/>
    </i>
    <i t="grand">
      <x/>
    </i>
  </rowItems>
  <colFields count="1">
    <field x="-2"/>
  </colFields>
  <colItems count="2">
    <i>
      <x/>
    </i>
    <i i="1">
      <x v="1"/>
    </i>
  </colItems>
  <dataFields count="2">
    <dataField name="Avadanlıq" fld="2" subtotal="count" baseField="0" baseItem="0"/>
    <dataField name="Ehtiyyat hissələri" fld="3" subtotal="count" baseField="0" baseItem="0"/>
  </dataFields>
  <chartFormats count="2">
    <chartFormat chart="14" format="4" series="1">
      <pivotArea type="data" outline="0" fieldPosition="0">
        <references count="1">
          <reference field="4294967294" count="1" selected="0">
            <x v="0"/>
          </reference>
        </references>
      </pivotArea>
    </chartFormat>
    <chartFormat chart="14" format="5" series="1">
      <pivotArea type="data" outline="0" fieldPosition="0">
        <references count="1">
          <reference field="4294967294" count="1" selected="0">
            <x v="1"/>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caption="Avadanlıq üzrə gəlir"/>
    <pivotHierarchy dragToRow="0" dragToCol="0" dragToPage="0" dragToData="1" caption="Ehtiyyat hissələri üzrə gəlir"/>
    <pivotHierarchy dragToRow="0" dragToCol="0" dragToPage="0" dragToData="1"/>
    <pivotHierarchy dragToRow="0" dragToCol="0" dragToPage="0" dragToData="1" caption="Avadanlıq"/>
    <pivotHierarchy dragToRow="0" dragToCol="0" dragToPage="0" dragToData="1"/>
    <pivotHierarchy dragToRow="0" dragToCol="0" dragToPage="0" dragToData="1" caption="Ehtiyyat hissələri"/>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Equipment 1]"/>
        <x15:activeTabTopLevelEntity name="[SalesSpareParts 1]"/>
        <x15:activeTabTopLevelEntity name="[Sales 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506DB48-079D-4EBF-8605-45750FE5943E}" name="PivotTable4" cacheId="1231"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12">
  <location ref="X6:Y9" firstHeaderRow="1" firstDataRow="1" firstDataCol="1"/>
  <pivotFields count="3">
    <pivotField allDrilled="1" subtotalTop="0" showAll="0" sortType="ascending" defaultSubtotal="0" defaultAttributeDrillState="1">
      <items count="3">
        <item x="2"/>
        <item x="1"/>
        <item x="0"/>
      </items>
    </pivotField>
    <pivotField axis="axisRow" allDrilled="1" subtotalTop="0" showAll="0" dataSourceSort="1" defaultSubtotal="0" defaultAttributeDrillState="1">
      <items count="2">
        <item x="0"/>
        <item x="1"/>
      </items>
    </pivotField>
    <pivotField dataField="1" subtotalTop="0" showAll="0" defaultSubtotal="0"/>
  </pivotFields>
  <rowFields count="1">
    <field x="1"/>
  </rowFields>
  <rowItems count="3">
    <i>
      <x/>
    </i>
    <i>
      <x v="1"/>
    </i>
    <i t="grand">
      <x/>
    </i>
  </rowItems>
  <colItems count="1">
    <i/>
  </colItems>
  <dataFields count="1">
    <dataField name="Sum of Quantity" fld="2" baseField="0" baseItem="0"/>
  </dataFields>
  <chartFormats count="1">
    <chartFormat chart="11" format="2"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caption="Avadanlıq üzrə gəlir"/>
    <pivotHierarchy dragToRow="0" dragToCol="0" dragToPage="0" dragToData="1" caption="Ehtiyyat hissələri üzrə gəlir"/>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Equipment 1]"/>
        <x15:activeTabTopLevelEntity name="[SalesSpareParts 1]"/>
        <x15:activeTabTopLevelEntity name="[Sales 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DC5D402-4E2D-4907-AD0C-C8FD4DC70605}" name="PivotTable2" cacheId="1255"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location ref="O6:O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Equipment 1]"/>
        <x15:activeTabTopLevelEntity name="[SalesSpareParts 1]"/>
        <x15:activeTabTopLevelEntity name="[Sales 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4666FCE-3799-459E-84CA-691349020214}" name="PivotTable9" cacheId="126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C6:C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Quantity" fld="0" baseField="0" baseItem="0"/>
  </dataField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SalesEquipment 1]"/>
        <x15:activeTabTopLevelEntity name="[SalesSpareParts 1]"/>
        <x15:activeTabTopLevelEntity name="[Sales 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42151D6-89CB-4533-8533-E6D0AB82DE8B}" name="PivotTable17" cacheId="1252"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location ref="M6:M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Equipment 1]"/>
        <x15:activeTabTopLevelEntity name="[SalesSpareParts 1]"/>
        <x15:activeTabTopLevelEntity name="[Sales 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10DA2AA-70B5-4B30-A0EB-0FA46BC51172}" name="PivotTable8" cacheId="126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6:A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Quantity" fld="0" baseField="0" baseItem="0"/>
  </dataField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Equipment 1]"/>
        <x15:activeTabTopLevelEntity name="[SalesSpareParts 1]"/>
        <x15:activeTabTopLevelEntity name="[Sales 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612EC50-462D-44A0-973D-86D32F891049}" name="PivotTable16" cacheId="1249"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location ref="G6:G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Equipment 1]"/>
        <x15:activeTabTopLevelEntity name="[SalesSpareParts 1]"/>
        <x15:activeTabTopLevelEntity name="[Sales 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713F769-A447-4C84-9E18-57D8CD852F52}" name="PivotTable12" cacheId="1246"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E6:E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Equipment 1]"/>
        <x15:activeTabTopLevelEntity name="[SalesSpareParts 1]"/>
        <x15:activeTabTopLevelEntity name="[Sales 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581C019-F4D1-45CB-A579-EC3EFE4DB91D}" name="PivotTable10" cacheId="1243"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I6:K14" firstHeaderRow="0" firstDataRow="1" firstDataCol="1"/>
  <pivotFields count="5">
    <pivotField dataField="1" subtotalTop="0" showAll="0" defaultSubtotal="0"/>
    <pivotField dataField="1" subtotalTop="0" showAll="0" defaultSubtotal="0"/>
    <pivotField axis="axisRow" allDrilled="1" subtotalTop="0" showAll="0" sortType="ascending" defaultSubtotal="0" defaultAttributeDrillState="1">
      <items count="3">
        <item x="2"/>
        <item x="1"/>
        <item x="0"/>
      </items>
    </pivotField>
    <pivotField axis="axisRow" allDrilled="1" subtotalTop="0" showAll="0" sortType="ascending" defaultSubtotal="0" defaultAttributeDrillState="1">
      <items count="2">
        <item x="0"/>
        <item x="1"/>
      </items>
    </pivotField>
    <pivotField allDrilled="1" subtotalTop="0" showAll="0" dataSourceSort="1" defaultSubtotal="0" defaultAttributeDrillState="1"/>
  </pivotFields>
  <rowFields count="2">
    <field x="3"/>
    <field x="2"/>
  </rowFields>
  <rowItems count="8">
    <i>
      <x/>
    </i>
    <i r="1">
      <x v="1"/>
    </i>
    <i r="1">
      <x v="2"/>
    </i>
    <i>
      <x v="1"/>
    </i>
    <i r="1">
      <x/>
    </i>
    <i r="1">
      <x v="1"/>
    </i>
    <i r="1">
      <x v="2"/>
    </i>
    <i t="grand">
      <x/>
    </i>
  </rowItems>
  <colFields count="1">
    <field x="-2"/>
  </colFields>
  <colItems count="2">
    <i>
      <x/>
    </i>
    <i i="1">
      <x v="1"/>
    </i>
  </colItems>
  <dataFields count="2">
    <dataField name="Avadanlıq" fld="0" baseField="0" baseItem="0"/>
    <dataField name="Ehtiyyat hissələri" fld="1" baseField="0" baseItem="0"/>
  </dataFields>
  <chartFormats count="2">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Equipment 1]"/>
        <x15:activeTabTopLevelEntity name="[SalesSpareParts 1]"/>
        <x15:activeTabTopLevelEntity name="[Sales 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C9F9D96-B364-4841-86AB-27DFF0308834}" name="PivotTable3" cacheId="1258"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8">
  <location ref="U6:V9" firstHeaderRow="1" firstDataRow="1" firstDataCol="1"/>
  <pivotFields count="4">
    <pivotField allDrilled="1" subtotalTop="0" showAll="0" sortType="ascending" defaultSubtotal="0" defaultAttributeDrillState="1">
      <items count="3">
        <item x="2"/>
        <item x="1"/>
        <item x="0"/>
      </items>
    </pivotField>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name="Sum of Quantity" fld="2" baseField="0" baseItem="0"/>
  </dataFields>
  <chartFormats count="1">
    <chartFormat chart="7" format="2"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caption="Avadanlıq üzrə gəlir"/>
    <pivotHierarchy dragToRow="0" dragToCol="0" dragToPage="0" dragToData="1" caption="Ehtiyyat hissələri üzrə gəlir"/>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Equipment 1]"/>
        <x15:activeTabTopLevelEntity name="[SalesSpareParts 1]"/>
        <x15:activeTabTopLevelEntity name="[Sales 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3A3BB9F-9A97-4F8F-91FA-5E7D5A113D46}" name="PivotTable1" cacheId="1240"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4">
  <location ref="Q6:S14" firstHeaderRow="0" firstDataRow="1" firstDataCol="1"/>
  <pivotFields count="5">
    <pivotField dataField="1" subtotalTop="0" showAll="0" defaultSubtotal="0"/>
    <pivotField axis="axisRow" allDrilled="1" subtotalTop="0" showAll="0" sortType="ascending" defaultSubtotal="0" defaultAttributeDrillState="1">
      <items count="3">
        <item x="2"/>
        <item x="1"/>
        <item x="0"/>
      </items>
    </pivotField>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2">
    <field x="2"/>
    <field x="1"/>
  </rowFields>
  <rowItems count="8">
    <i>
      <x/>
    </i>
    <i r="1">
      <x v="1"/>
    </i>
    <i r="1">
      <x v="2"/>
    </i>
    <i>
      <x v="1"/>
    </i>
    <i r="1">
      <x/>
    </i>
    <i r="1">
      <x v="1"/>
    </i>
    <i r="1">
      <x v="2"/>
    </i>
    <i t="grand">
      <x/>
    </i>
  </rowItems>
  <colFields count="1">
    <field x="-2"/>
  </colFields>
  <colItems count="2">
    <i>
      <x/>
    </i>
    <i i="1">
      <x v="1"/>
    </i>
  </colItems>
  <dataFields count="2">
    <dataField name="Ehtiyyat hissələri üzrə gəlir" fld="0" subtotal="count" baseField="0" baseItem="0"/>
    <dataField fld="3" subtotal="count" baseField="0" baseItem="0"/>
  </dataFields>
  <chartFormats count="2">
    <chartFormat chart="3" format="5"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1"/>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caption="Avadanlıq üzrə gəlir"/>
    <pivotHierarchy dragToRow="0" dragToCol="0" dragToPage="0" dragToData="1" caption="Ehtiyyat hissələri üzrə gəlir"/>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Equipment 1]"/>
        <x15:activeTabTopLevelEntity name="[SalesSpareParts 1]"/>
        <x15:activeTabTopLevelEntity name="[Sales Calenda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vadanlığın_adı" xr10:uid="{5A5F9170-79AB-4B9F-BD25-ECDBFDD6271F}" sourceName="[SalesEquipment 1].[Avadanlığın adı]">
  <pivotTables>
    <pivotTable tabId="8" name="PivotTable8"/>
    <pivotTable tabId="8" name="PivotTable1"/>
    <pivotTable tabId="8" name="PivotTable10"/>
    <pivotTable tabId="8" name="PivotTable12"/>
    <pivotTable tabId="8" name="PivotTable16"/>
    <pivotTable tabId="8" name="PivotTable17"/>
    <pivotTable tabId="8" name="PivotTable9"/>
    <pivotTable tabId="8" name="PivotTable3"/>
    <pivotTable tabId="8" name="PivotTable2"/>
    <pivotTable tabId="8" name="PivotTable4"/>
    <pivotTable tabId="8" name="PivotTable6"/>
    <pivotTable tabId="8" name="PivotTable11"/>
  </pivotTables>
  <data>
    <olap pivotCacheId="1873646104">
      <levels count="2">
        <level uniqueName="[SalesEquipment 1].[Avadanlığın adı].[(All)]" sourceCaption="(All)" count="0"/>
        <level uniqueName="[SalesEquipment 1].[Avadanlığın adı].[Avadanlığın adı]" sourceCaption="Avadanlığın adı" count="2">
          <ranges>
            <range startItem="0">
              <i n="[SalesEquipment 1].[Avadanlığın adı].&amp;[Yeni avadanliq 1]" c="Yeni avadanliq 1"/>
              <i n="[SalesEquipment 1].[Avadanlığın adı].&amp;[Yeni avadanliq 2]" c="Yeni avadanliq 2"/>
            </range>
          </ranges>
        </level>
      </levels>
      <selections count="1">
        <selection n="[SalesEquipment 1].[Avadanlığın adı].[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htiyyat_hissələrinin_adı" xr10:uid="{2ECD68A5-41F7-4B1B-B549-D2304CBD00E5}" sourceName="[SalesSpareParts 1].[Ehtiyyat hissələrinin adı]">
  <pivotTables>
    <pivotTable tabId="8" name="PivotTable4"/>
    <pivotTable tabId="8" name="PivotTable6"/>
    <pivotTable tabId="8" name="PivotTable11"/>
    <pivotTable tabId="8" name="PivotTable1"/>
    <pivotTable tabId="8" name="PivotTable10"/>
    <pivotTable tabId="8" name="PivotTable12"/>
    <pivotTable tabId="8" name="PivotTable16"/>
    <pivotTable tabId="8" name="PivotTable17"/>
    <pivotTable tabId="8" name="PivotTable2"/>
    <pivotTable tabId="8" name="PivotTable3"/>
    <pivotTable tabId="8" name="PivotTable8"/>
    <pivotTable tabId="8" name="PivotTable9"/>
  </pivotTables>
  <data>
    <olap pivotCacheId="1873646104">
      <levels count="2">
        <level uniqueName="[SalesSpareParts 1].[Ehtiyyat hissələrinin adı].[(All)]" sourceCaption="(All)" count="0"/>
        <level uniqueName="[SalesSpareParts 1].[Ehtiyyat hissələrinin adı].[Ehtiyyat hissələrinin adı]" sourceCaption="Ehtiyyat hissələrinin adı" count="2">
          <ranges>
            <range startItem="0">
              <i n="[SalesSpareParts 1].[Ehtiyyat hissələrinin adı].&amp;[Yeni ehtiyyat hissesi 1]" c="Yeni ehtiyyat hissesi 1"/>
              <i n="[SalesSpareParts 1].[Ehtiyyat hissələrinin adı].&amp;[Yeni ehtiyyat hissesi 4]" c="Yeni ehtiyyat hissesi 4"/>
            </range>
          </ranges>
        </level>
      </levels>
      <selections count="1">
        <selection n="[SalesSpareParts 1].[Ehtiyyat hissələrinin adı].[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vadanlığın adı" xr10:uid="{B94D8C19-1C67-47D6-9F57-E9957C1384D7}" cache="Slicer_Avadanlığın_adı" caption="Avadanlığın adı" level="1" rowHeight="247650"/>
  <slicer name="Ehtiyyat hissələrinin adı" xr10:uid="{C681A3FB-15D8-4B72-A974-65DC15A654FA}" cache="Slicer_Ehtiyyat_hissələrinin_adı" caption="Ehtiyyat hissələrinin adı" level="1"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4B352B7-A4D1-4E8B-B1C8-53E2813EB841}" name="SalesEquipment" displayName="SalesEquipment" ref="A2:G9" totalsRowShown="0">
  <autoFilter ref="A2:G9" xr:uid="{84B352B7-A4D1-4E8B-B1C8-53E2813EB841}"/>
  <tableColumns count="7">
    <tableColumn id="1" xr3:uid="{91EAE64C-9557-4A97-914C-57C9D037C8A5}" name="Sales ID"/>
    <tableColumn id="2" xr3:uid="{1CFBC105-907A-4358-9BCA-14D5B0F11398}" name="Sales Date"/>
    <tableColumn id="3" xr3:uid="{1A3C17E3-6FC1-4894-B304-D69EE7D5D6AF}" name="Equipment ID"/>
    <tableColumn id="4" xr3:uid="{F4C3F0F6-C3C8-4045-8CBB-90972C1E3F12}" name="Customer ID"/>
    <tableColumn id="5" xr3:uid="{76C2DAFA-5FD0-45EE-8460-B19F968D640B}" name="Sales Price" dataDxfId="8"/>
    <tableColumn id="6" xr3:uid="{C0F9D6E6-6BD9-4700-A731-0FCC1BAD0C4C}" name="Quantity"/>
    <tableColumn id="7" xr3:uid="{8169FEFB-8C0A-4298-AE13-0FF0ECD85AAD}" name="Last Date of Us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51293D6-D258-4001-AA63-0880D2E3C590}" name="SalesSpareParts" displayName="SalesSpareParts" ref="I2:N6" totalsRowShown="0">
  <autoFilter ref="I2:N6" xr:uid="{451293D6-D258-4001-AA63-0880D2E3C590}"/>
  <tableColumns count="6">
    <tableColumn id="1" xr3:uid="{C7C7F56D-2388-47EC-B203-1F7DC0885194}" name="Sales ID"/>
    <tableColumn id="6" xr3:uid="{C71D7231-CCCB-4D18-8ABA-573BF722A8E8}" name="Sales Date"/>
    <tableColumn id="2" xr3:uid="{FBB1F49B-6282-4A75-9AE3-8453CAAACBDE}" name="Spare Part ID"/>
    <tableColumn id="3" xr3:uid="{9A3992B8-0D57-481E-AE1D-CFEAC2C53A92}" name="Customer ID"/>
    <tableColumn id="4" xr3:uid="{767EB4D1-4ACB-4C6D-BE7B-C2B3C1536B84}" name="Quantity"/>
    <tableColumn id="5" xr3:uid="{4CD53105-0EF4-4312-BA3F-4E78B9A03DD2}" name="Sales Pri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B90CE3F-7EEF-494D-933D-18C511AF05E9}" name="EquipmentCategory" displayName="EquipmentCategory" ref="U2:V4" totalsRowShown="0">
  <autoFilter ref="U2:V4" xr:uid="{0B90CE3F-7EEF-494D-933D-18C511AF05E9}"/>
  <tableColumns count="2">
    <tableColumn id="1" xr3:uid="{40E87D17-9D89-4EBF-86D3-67798AB7B54B}" name="ID"/>
    <tableColumn id="2" xr3:uid="{9E52FA50-C571-4A38-A109-60EB88317C7A}" name="Nam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14AB4B6-A17A-4B56-88B6-B51BE7D3F222}" name="Equipment" displayName="Equipment" ref="P2:S4" totalsRowShown="0">
  <autoFilter ref="P2:S4" xr:uid="{914AB4B6-A17A-4B56-88B6-B51BE7D3F222}"/>
  <tableColumns count="4">
    <tableColumn id="1" xr3:uid="{5ADC893E-50C2-4DBB-8C2C-4933956264FF}" name="ID"/>
    <tableColumn id="2" xr3:uid="{E7C153DF-16C3-4FA1-BE2A-8DF1D7F6DF57}" name="Name"/>
    <tableColumn id="3" xr3:uid="{E81D9713-874B-4C86-B7B8-431C4ACA680F}" name="Category ID"/>
    <tableColumn id="4" xr3:uid="{00849F50-8779-460E-BE1E-760A01969059}" name="Model I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ADA822-A7F1-48D7-908B-32203C31CFC0}" name="Model" displayName="Model" ref="M2:N4" totalsRowShown="0">
  <autoFilter ref="M2:N4" xr:uid="{6FADA822-A7F1-48D7-908B-32203C31CFC0}"/>
  <tableColumns count="2">
    <tableColumn id="1" xr3:uid="{9B87ADA8-1E48-45AA-B433-45E5D805DA6E}" name="ID"/>
    <tableColumn id="2" xr3:uid="{3737E3A0-746A-4A6F-8FD6-2BD2E073E372}" name="Nam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23B16AF-D548-4E73-9691-E8B193F85CCB}" name="StockImportEquipment" displayName="StockImportEquipment" ref="A2:K5" totalsRowShown="0">
  <autoFilter ref="A2:K5" xr:uid="{B23B16AF-D548-4E73-9691-E8B193F85CCB}"/>
  <tableColumns count="11">
    <tableColumn id="1" xr3:uid="{1B532837-3FBD-450F-A4E5-A5E12078C546}" name="ID"/>
    <tableColumn id="2" xr3:uid="{8DAE8986-343C-4193-91FE-13D3CA43E158}" name="Declaration ID"/>
    <tableColumn id="13" xr3:uid="{3F9D1DA1-012F-4EB7-8898-A4E0B1D3E257}" name="Invoice number"/>
    <tableColumn id="3" xr3:uid="{2C18BBD0-DE3F-40EB-960E-0308709E062E}" name="Equipment ID"/>
    <tableColumn id="5" xr3:uid="{27159430-4092-48F5-8BAA-EAFB659A6B80}" name="Price (Manat)" dataDxfId="7"/>
    <tableColumn id="12" xr3:uid="{953434F7-55D1-45AE-949C-C347B6B1A4A7}" name="Price (Avro)" dataDxfId="6"/>
    <tableColumn id="6" xr3:uid="{B0D1ED2B-E566-4994-BACD-9508243228E6}" name="Import Date"/>
    <tableColumn id="7" xr3:uid="{1047DAAC-5FBC-4F68-A03C-BB4970CF8D7D}" name="Quantity"/>
    <tableColumn id="8" xr3:uid="{77FFD500-2FB7-4257-BE9D-4EBDA2CED158}" name="Sales Price (Manat)" dataDxfId="5"/>
    <tableColumn id="10" xr3:uid="{F3471FBC-0174-4CBF-9BFD-4CD6F9A85642}" name="Total Sales" dataDxfId="4"/>
    <tableColumn id="4" xr3:uid="{6E1FCC49-6612-461A-84FA-05D756863F36}" name="Stock" dataDxfId="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82FF411-C59A-4C6D-84E0-60E8B842CC31}" name="StockSpareParts" displayName="StockSpareParts" ref="A2:M5" totalsRowShown="0">
  <autoFilter ref="A2:M5" xr:uid="{D82FF411-C59A-4C6D-84E0-60E8B842CC31}"/>
  <tableColumns count="13">
    <tableColumn id="1" xr3:uid="{93A8A163-77BD-4E70-8B81-EFE14F5D3D9B}" name="ID"/>
    <tableColumn id="12" xr3:uid="{100C1016-54C6-42F7-82AA-BF0D26E154C6}" name="Declaration ID"/>
    <tableColumn id="11" xr3:uid="{3F3A8A99-8CC7-4A48-A831-72A4F9962AA0}" name="Invoice number"/>
    <tableColumn id="2" xr3:uid="{42980591-642E-4F44-AE61-B126D8D917E1}" name="Equipment ID"/>
    <tableColumn id="3" xr3:uid="{14D920F0-24C2-4CF0-A92F-2A957B7D610E}" name="Spare Part Name ID"/>
    <tableColumn id="4" xr3:uid="{DAD4370C-F1A9-408F-8CDE-E90E8A5302A3}" name="Category ID"/>
    <tableColumn id="5" xr3:uid="{C0419AA6-C1D2-4559-885F-8B115BECE781}" name="Import Date"/>
    <tableColumn id="6" xr3:uid="{0ABEFF4D-77FB-4D9E-B3C1-98DF3320D606}" name="Price (Manat)" dataDxfId="2"/>
    <tableColumn id="13" xr3:uid="{E7F9E1BF-D6FF-47F3-A6CE-DF2CEC61BC3B}" name="Price (Avro)" dataDxfId="1"/>
    <tableColumn id="7" xr3:uid="{6D64490A-7A0B-4C64-AD97-B09C46F5E2EE}" name="Quantity"/>
    <tableColumn id="8" xr3:uid="{E8CF5223-4ADD-4EF0-BFE1-6194F0F8F154}" name="Sales Price" dataDxfId="0"/>
    <tableColumn id="10" xr3:uid="{745C6FF2-703F-4717-A78D-3465294DEEF6}" name="Total sales"/>
    <tableColumn id="9" xr3:uid="{EE3E433C-B6B8-47B0-B96E-FFAAC9BAD70B}" name="Stock"/>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30998EE-62F1-41AF-B348-271F5A2E9F8E}" name="SparePartsCategory" displayName="SparePartsCategory" ref="O2:P6" totalsRowShown="0">
  <autoFilter ref="O2:P6" xr:uid="{F30998EE-62F1-41AF-B348-271F5A2E9F8E}"/>
  <tableColumns count="2">
    <tableColumn id="1" xr3:uid="{C8E831C7-F687-45F4-8E88-5D37A794C562}" name="ID"/>
    <tableColumn id="2" xr3:uid="{6466201D-6B72-4B64-981F-4B139495AFCA}" name="Nam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E61EF88-3EF7-4534-9FAD-E84A5B439ECC}" name="SparePartsNames" displayName="SparePartsNames" ref="R2:S6" totalsRowShown="0">
  <autoFilter ref="R2:S6" xr:uid="{1E61EF88-3EF7-4534-9FAD-E84A5B439ECC}"/>
  <tableColumns count="2">
    <tableColumn id="1" xr3:uid="{AA252254-EDCB-4DEC-B94E-9831776C1C31}" name="ID"/>
    <tableColumn id="2" xr3:uid="{87CD4F0E-E8A0-4330-AECD-EC68E858A953}" name="Nam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782DEAC-8B02-48A4-AE82-B836D4D5A58E}" name="Customers" displayName="Customers" ref="A2:C5" totalsRowShown="0">
  <autoFilter ref="A2:C5" xr:uid="{3782DEAC-8B02-48A4-AE82-B836D4D5A58E}"/>
  <tableColumns count="3">
    <tableColumn id="1" xr3:uid="{F9221021-87FC-4F88-A735-3178640B4D8D}" name="ID"/>
    <tableColumn id="2" xr3:uid="{31959FB5-3EFD-4F7F-8910-FC25F112DBB0}" name="Name"/>
    <tableColumn id="3" xr3:uid="{C0DA2D9C-75A2-443F-B727-519C01823602}" name="Categor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Sales_Date" xr10:uid="{76B4AF8A-E9AD-4B2D-A3CE-5EFDAD740CB1}" sourceName="[Sales Calendar].[Sales Date]">
  <pivotTables>
    <pivotTable tabId="8" name="PivotTable8"/>
    <pivotTable tabId="8" name="PivotTable9"/>
    <pivotTable tabId="8" name="PivotTable10"/>
    <pivotTable tabId="8" name="PivotTable12"/>
    <pivotTable tabId="8" name="PivotTable16"/>
    <pivotTable tabId="8" name="PivotTable17"/>
    <pivotTable tabId="8" name="PivotTable1"/>
    <pivotTable tabId="8" name="PivotTable3"/>
    <pivotTable tabId="8" name="PivotTable2"/>
    <pivotTable tabId="8" name="PivotTable4"/>
    <pivotTable tabId="8" name="PivotTable6"/>
    <pivotTable tabId="8" name="PivotTable11"/>
  </pivotTables>
  <state minimalRefreshVersion="6" lastRefreshVersion="6" pivotCacheId="1575324687" filterType="unknown">
    <bounds startDate="2023-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ales Date" xr10:uid="{FC40A402-8F8A-4B70-8BA0-74BDC6BE0E72}" cache="Timeline_Sales_Date" caption="Sales Date" showHeader="0" showSelectionLabel="0" showHorizontalScrollbar="0" level="2" selectionLevel="0" scrollPosition="2023-12-09T00:00:00"/>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_rels/sheet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3AE7E-1986-4C66-B149-144B7160D98F}">
  <sheetPr codeName="Sheet1">
    <tabColor rgb="FF92D050"/>
  </sheetPr>
  <dimension ref="A1"/>
  <sheetViews>
    <sheetView tabSelected="1" workbookViewId="0">
      <selection activeCell="E8" sqref="E8"/>
    </sheetView>
  </sheetViews>
  <sheetFormatPr defaultRowHeight="15" x14ac:dyDescent="0.35"/>
  <cols>
    <col min="1" max="16384" width="8.88671875" style="1"/>
  </cols>
  <sheetData/>
  <sheetProtection algorithmName="SHA-512" hashValue="fZNajL9lLrdXXPkvarMrYFXEAU9SrEjIGcj1PTU37+hAv6CqWA7d96bA0CuIlvyJCidZsxc8nipGSoqyGWSPrg==" saltValue="4Fhmm0rRQf1yGiyNjiKa0Q==" spinCount="100000" sheet="1" objects="1" scenarios="1"/>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39CA7-C821-48C6-9B59-1D5FB2EE6AB9}">
  <sheetPr codeName="Sheet7">
    <tabColor rgb="FF00B0F0"/>
  </sheetPr>
  <dimension ref="A1:A25"/>
  <sheetViews>
    <sheetView showGridLines="0" zoomScale="90" zoomScaleNormal="90" workbookViewId="0">
      <selection activeCell="A10" sqref="A10"/>
    </sheetView>
  </sheetViews>
  <sheetFormatPr defaultRowHeight="15" x14ac:dyDescent="0.35"/>
  <cols>
    <col min="1" max="1" width="6.44140625" style="22" bestFit="1" customWidth="1"/>
    <col min="2" max="16384" width="8.88671875" style="18"/>
  </cols>
  <sheetData>
    <row r="1" spans="1:1" x14ac:dyDescent="0.35">
      <c r="A1" s="22">
        <f>Pivot!A3</f>
        <v>32</v>
      </c>
    </row>
    <row r="6" spans="1:1" x14ac:dyDescent="0.35">
      <c r="A6" s="22">
        <f>Pivot!C3</f>
        <v>30</v>
      </c>
    </row>
    <row r="7" spans="1:1" ht="14.4" customHeight="1" x14ac:dyDescent="0.35"/>
    <row r="11" spans="1:1" x14ac:dyDescent="0.35">
      <c r="A11" s="23">
        <f>Pivot!E3</f>
        <v>430</v>
      </c>
    </row>
    <row r="16" spans="1:1" x14ac:dyDescent="0.35">
      <c r="A16" s="23">
        <f>Pivot!G3</f>
        <v>180</v>
      </c>
    </row>
    <row r="21" spans="1:1" x14ac:dyDescent="0.35">
      <c r="A21" s="23">
        <f>Pivot!M3</f>
        <v>257.101</v>
      </c>
    </row>
    <row r="25" spans="1:1" x14ac:dyDescent="0.35">
      <c r="A25" s="23">
        <f>Pivot!O3</f>
        <v>105</v>
      </c>
    </row>
  </sheetData>
  <sheetProtection algorithmName="SHA-512" hashValue="0pnx99yyzHbaay0fT85D1HeTIhKa5EkhWrSqxo8zMgdhDTxg3vm+3NCxIbaVohBXnUXPUiyieo0z0HEPhUDQcg==" saltValue="6mSVk5K7908/ldmkV3Oijg==" spinCount="100000" sheet="1" objects="1" scenarios="1" selectLockedCells="1" selectUnlockedCells="1"/>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F0858-532D-4DA8-B7F3-CE541E42DE83}">
  <sheetPr codeName="Sheet8"/>
  <dimension ref="A1:AG215"/>
  <sheetViews>
    <sheetView topLeftCell="Y1" workbookViewId="0">
      <selection activeCell="AF7" sqref="AF7"/>
    </sheetView>
  </sheetViews>
  <sheetFormatPr defaultColWidth="18.109375" defaultRowHeight="15" x14ac:dyDescent="0.35"/>
  <cols>
    <col min="1" max="1" width="15.21875" style="15" bestFit="1" customWidth="1"/>
    <col min="2" max="2" width="3.33203125" style="15" customWidth="1"/>
    <col min="3" max="3" width="15.21875" style="15" bestFit="1" customWidth="1"/>
    <col min="4" max="4" width="9.88671875" style="15" customWidth="1"/>
    <col min="5" max="5" width="25.44140625" style="15" bestFit="1" customWidth="1"/>
    <col min="6" max="6" width="2.6640625" style="15" customWidth="1"/>
    <col min="7" max="7" width="25.88671875" style="15" bestFit="1" customWidth="1"/>
    <col min="8" max="8" width="10.5546875" style="15" customWidth="1"/>
    <col min="9" max="9" width="13.109375" style="15" bestFit="1" customWidth="1"/>
    <col min="10" max="10" width="9.88671875" style="15" bestFit="1" customWidth="1"/>
    <col min="11" max="11" width="15.77734375" style="15" bestFit="1" customWidth="1"/>
    <col min="12" max="12" width="9.88671875" style="15" bestFit="1" customWidth="1"/>
    <col min="13" max="13" width="24" style="15" bestFit="1" customWidth="1"/>
    <col min="14" max="14" width="5.6640625" style="15" customWidth="1"/>
    <col min="15" max="16" width="24.44140625" style="15" bestFit="1" customWidth="1"/>
    <col min="17" max="17" width="13.109375" style="15" bestFit="1" customWidth="1"/>
    <col min="18" max="18" width="24.44140625" style="15" bestFit="1" customWidth="1"/>
    <col min="19" max="19" width="18.5546875" style="15" bestFit="1" customWidth="1"/>
    <col min="20" max="20" width="16.109375" style="15" bestFit="1" customWidth="1"/>
    <col min="21" max="21" width="15.109375" style="15" bestFit="1" customWidth="1"/>
    <col min="22" max="22" width="15.21875" style="15" bestFit="1" customWidth="1"/>
    <col min="23" max="23" width="18.109375" style="15"/>
    <col min="24" max="24" width="19.88671875" style="15" bestFit="1" customWidth="1"/>
    <col min="25" max="25" width="15.21875" style="15" bestFit="1" customWidth="1"/>
    <col min="26" max="26" width="18.109375" style="15"/>
    <col min="27" max="27" width="13.109375" style="15" bestFit="1" customWidth="1"/>
    <col min="28" max="28" width="9.88671875" style="15" bestFit="1" customWidth="1"/>
    <col min="29" max="29" width="15.77734375" style="15" bestFit="1" customWidth="1"/>
    <col min="30" max="30" width="18.109375" style="15"/>
    <col min="31" max="31" width="9.88671875" style="15" bestFit="1" customWidth="1"/>
    <col min="32" max="33" width="15.77734375" style="15" bestFit="1" customWidth="1"/>
    <col min="34" max="16384" width="18.109375" style="15"/>
  </cols>
  <sheetData>
    <row r="1" spans="1:33" x14ac:dyDescent="0.35">
      <c r="A1" s="20" t="s">
        <v>127</v>
      </c>
      <c r="B1" s="20"/>
      <c r="C1" s="20"/>
      <c r="E1" s="20" t="s">
        <v>55</v>
      </c>
      <c r="F1" s="20"/>
      <c r="G1" s="20"/>
      <c r="M1" s="20" t="s">
        <v>105</v>
      </c>
      <c r="N1" s="20"/>
      <c r="O1" s="20"/>
    </row>
    <row r="2" spans="1:33" s="14" customFormat="1" ht="60" customHeight="1" x14ac:dyDescent="0.35">
      <c r="A2" s="13" t="s">
        <v>126</v>
      </c>
      <c r="B2" s="13"/>
      <c r="C2" s="13" t="s">
        <v>125</v>
      </c>
      <c r="E2" s="13" t="s">
        <v>50</v>
      </c>
      <c r="F2" s="13"/>
      <c r="G2" s="13" t="s">
        <v>90</v>
      </c>
      <c r="I2" s="19" t="s">
        <v>128</v>
      </c>
      <c r="J2" s="19"/>
      <c r="K2" s="19"/>
      <c r="M2" s="13" t="s">
        <v>50</v>
      </c>
      <c r="N2" s="13"/>
      <c r="O2" s="13" t="s">
        <v>90</v>
      </c>
      <c r="Q2" s="19" t="s">
        <v>133</v>
      </c>
      <c r="R2" s="19"/>
      <c r="S2" s="19"/>
      <c r="U2" s="19" t="s">
        <v>139</v>
      </c>
      <c r="V2" s="19"/>
      <c r="X2" s="19" t="s">
        <v>142</v>
      </c>
      <c r="Y2" s="19"/>
      <c r="AA2" s="19" t="s">
        <v>105</v>
      </c>
      <c r="AB2" s="19"/>
      <c r="AC2" s="19"/>
    </row>
    <row r="3" spans="1:33" x14ac:dyDescent="0.35">
      <c r="A3" s="15">
        <f>GETPIVOTDATA("[Measures].[Sum of Quantity 2]",$A$6)</f>
        <v>32</v>
      </c>
      <c r="C3" s="15">
        <f>GETPIVOTDATA("[Measures].[Sum of Quantity 3]",$C$6)</f>
        <v>30</v>
      </c>
      <c r="E3" s="16">
        <f>GETPIVOTDATA("[Measures].[Total Revenue in Equipment]",$E$6)</f>
        <v>430</v>
      </c>
      <c r="G3" s="16">
        <f>GETPIVOTDATA("[Measures].[Total Revenue in Spare Parts]",$G$6)</f>
        <v>180</v>
      </c>
      <c r="M3" s="15">
        <f>GETPIVOTDATA("[Measures].[Net Revenue in Equipment]",$M$6)</f>
        <v>257.101</v>
      </c>
      <c r="O3" s="15">
        <f>GETPIVOTDATA("[Measures].[Net Revenue in Spare Parts]",$O$6)</f>
        <v>105</v>
      </c>
    </row>
    <row r="5" spans="1:33" x14ac:dyDescent="0.35">
      <c r="O5"/>
      <c r="P5"/>
    </row>
    <row r="6" spans="1:33" x14ac:dyDescent="0.35">
      <c r="A6" t="s">
        <v>124</v>
      </c>
      <c r="B6"/>
      <c r="C6" t="s">
        <v>124</v>
      </c>
      <c r="D6"/>
      <c r="E6" t="s">
        <v>130</v>
      </c>
      <c r="F6"/>
      <c r="G6" t="s">
        <v>129</v>
      </c>
      <c r="H6"/>
      <c r="I6" s="11" t="s">
        <v>122</v>
      </c>
      <c r="J6" t="s">
        <v>50</v>
      </c>
      <c r="K6" t="s">
        <v>90</v>
      </c>
      <c r="L6"/>
      <c r="M6" t="s">
        <v>131</v>
      </c>
      <c r="N6"/>
      <c r="O6" t="s">
        <v>141</v>
      </c>
      <c r="P6"/>
      <c r="Q6" s="11" t="s">
        <v>122</v>
      </c>
      <c r="R6" t="s">
        <v>138</v>
      </c>
      <c r="S6" t="s">
        <v>137</v>
      </c>
      <c r="T6"/>
      <c r="U6" s="11" t="s">
        <v>122</v>
      </c>
      <c r="V6" t="s">
        <v>124</v>
      </c>
      <c r="X6" s="11" t="s">
        <v>122</v>
      </c>
      <c r="Y6" t="s">
        <v>124</v>
      </c>
      <c r="Z6"/>
      <c r="AA6" s="11" t="s">
        <v>122</v>
      </c>
      <c r="AB6" t="s">
        <v>50</v>
      </c>
      <c r="AC6" t="s">
        <v>90</v>
      </c>
      <c r="AE6" t="s">
        <v>50</v>
      </c>
      <c r="AF6" t="s">
        <v>90</v>
      </c>
      <c r="AG6"/>
    </row>
    <row r="7" spans="1:33" x14ac:dyDescent="0.35">
      <c r="A7" s="21">
        <v>32</v>
      </c>
      <c r="B7"/>
      <c r="C7" s="21">
        <v>30</v>
      </c>
      <c r="D7"/>
      <c r="E7" s="5">
        <v>430</v>
      </c>
      <c r="F7" s="5"/>
      <c r="G7" s="5">
        <v>180</v>
      </c>
      <c r="H7"/>
      <c r="I7" s="12">
        <v>2023</v>
      </c>
      <c r="J7" s="21"/>
      <c r="K7" s="21"/>
      <c r="L7"/>
      <c r="M7" s="5">
        <v>257.101</v>
      </c>
      <c r="N7" s="5"/>
      <c r="O7" s="5">
        <v>105</v>
      </c>
      <c r="P7"/>
      <c r="Q7" s="12">
        <v>2023</v>
      </c>
      <c r="R7" s="21"/>
      <c r="S7" s="21"/>
      <c r="T7"/>
      <c r="U7" s="12" t="s">
        <v>61</v>
      </c>
      <c r="V7" s="21">
        <v>7</v>
      </c>
      <c r="X7" s="12" t="s">
        <v>75</v>
      </c>
      <c r="Y7" s="21">
        <v>15</v>
      </c>
      <c r="Z7"/>
      <c r="AA7" s="12">
        <v>2023</v>
      </c>
      <c r="AB7" s="21"/>
      <c r="AC7" s="21"/>
      <c r="AE7" s="5">
        <v>257.101</v>
      </c>
      <c r="AF7" s="5">
        <v>105</v>
      </c>
      <c r="AG7"/>
    </row>
    <row r="8" spans="1:33" x14ac:dyDescent="0.35">
      <c r="E8"/>
      <c r="F8"/>
      <c r="G8"/>
      <c r="H8"/>
      <c r="I8" s="17" t="s">
        <v>132</v>
      </c>
      <c r="J8" s="21">
        <v>1</v>
      </c>
      <c r="K8" s="21">
        <v>5</v>
      </c>
      <c r="L8"/>
      <c r="M8"/>
      <c r="N8"/>
      <c r="O8"/>
      <c r="P8"/>
      <c r="Q8" s="17" t="s">
        <v>132</v>
      </c>
      <c r="R8" s="5">
        <v>35</v>
      </c>
      <c r="S8" s="5">
        <v>15</v>
      </c>
      <c r="T8"/>
      <c r="U8" s="12" t="s">
        <v>70</v>
      </c>
      <c r="V8" s="21">
        <v>25</v>
      </c>
      <c r="X8" s="12" t="s">
        <v>96</v>
      </c>
      <c r="Y8" s="21">
        <v>15</v>
      </c>
      <c r="Z8"/>
      <c r="AA8" s="17" t="s">
        <v>132</v>
      </c>
      <c r="AB8" s="5">
        <v>5</v>
      </c>
      <c r="AC8" s="5">
        <v>25</v>
      </c>
      <c r="AE8"/>
      <c r="AF8"/>
      <c r="AG8"/>
    </row>
    <row r="9" spans="1:33" x14ac:dyDescent="0.35">
      <c r="E9"/>
      <c r="F9"/>
      <c r="G9"/>
      <c r="H9"/>
      <c r="I9" s="17" t="s">
        <v>135</v>
      </c>
      <c r="J9" s="21">
        <v>5</v>
      </c>
      <c r="K9" s="21">
        <v>10</v>
      </c>
      <c r="L9"/>
      <c r="M9"/>
      <c r="N9"/>
      <c r="O9"/>
      <c r="P9"/>
      <c r="Q9" s="17" t="s">
        <v>135</v>
      </c>
      <c r="R9" s="5">
        <v>70</v>
      </c>
      <c r="S9" s="5">
        <v>50</v>
      </c>
      <c r="T9"/>
      <c r="U9" s="12" t="s">
        <v>123</v>
      </c>
      <c r="V9" s="21">
        <v>32</v>
      </c>
      <c r="X9" s="12" t="s">
        <v>123</v>
      </c>
      <c r="Y9" s="21">
        <v>30</v>
      </c>
      <c r="Z9"/>
      <c r="AA9" s="17" t="s">
        <v>135</v>
      </c>
      <c r="AB9" s="5">
        <v>40</v>
      </c>
      <c r="AC9" s="5">
        <v>50</v>
      </c>
      <c r="AE9"/>
      <c r="AF9"/>
      <c r="AG9"/>
    </row>
    <row r="10" spans="1:33" x14ac:dyDescent="0.35">
      <c r="E10"/>
      <c r="F10"/>
      <c r="G10"/>
      <c r="H10"/>
      <c r="I10" s="12">
        <v>2024</v>
      </c>
      <c r="J10" s="21"/>
      <c r="K10" s="21"/>
      <c r="L10"/>
      <c r="M10"/>
      <c r="N10"/>
      <c r="O10"/>
      <c r="P10"/>
      <c r="Q10" s="12">
        <v>2024</v>
      </c>
      <c r="R10" s="21"/>
      <c r="S10" s="21"/>
      <c r="U10"/>
      <c r="V10"/>
      <c r="X10"/>
      <c r="Y10"/>
      <c r="Z10"/>
      <c r="AA10" s="12">
        <v>2024</v>
      </c>
      <c r="AB10" s="21"/>
      <c r="AC10" s="21"/>
      <c r="AE10"/>
      <c r="AF10"/>
      <c r="AG10"/>
    </row>
    <row r="11" spans="1:33" x14ac:dyDescent="0.35">
      <c r="E11"/>
      <c r="F11"/>
      <c r="G11"/>
      <c r="H11"/>
      <c r="I11" s="17" t="s">
        <v>134</v>
      </c>
      <c r="J11" s="21">
        <v>3</v>
      </c>
      <c r="K11" s="21"/>
      <c r="L11"/>
      <c r="M11"/>
      <c r="N11"/>
      <c r="O11"/>
      <c r="P11"/>
      <c r="Q11" s="17" t="s">
        <v>134</v>
      </c>
      <c r="R11" s="5"/>
      <c r="S11" s="5">
        <v>45</v>
      </c>
      <c r="U11"/>
      <c r="V11"/>
      <c r="X11"/>
      <c r="Y11"/>
      <c r="Z11"/>
      <c r="AA11" s="17" t="s">
        <v>134</v>
      </c>
      <c r="AB11" s="5">
        <v>15</v>
      </c>
      <c r="AC11" s="5"/>
      <c r="AE11"/>
      <c r="AF11"/>
      <c r="AG11"/>
    </row>
    <row r="12" spans="1:33" x14ac:dyDescent="0.35">
      <c r="E12"/>
      <c r="F12"/>
      <c r="G12"/>
      <c r="H12"/>
      <c r="I12" s="17" t="s">
        <v>132</v>
      </c>
      <c r="J12" s="21">
        <v>17</v>
      </c>
      <c r="K12" s="21">
        <v>8</v>
      </c>
      <c r="L12"/>
      <c r="M12"/>
      <c r="N12"/>
      <c r="O12"/>
      <c r="P12"/>
      <c r="Q12" s="17" t="s">
        <v>132</v>
      </c>
      <c r="R12" s="5">
        <v>40</v>
      </c>
      <c r="S12" s="5">
        <v>255</v>
      </c>
      <c r="U12"/>
      <c r="V12"/>
      <c r="X12"/>
      <c r="Y12"/>
      <c r="Z12"/>
      <c r="AA12" s="17" t="s">
        <v>132</v>
      </c>
      <c r="AB12" s="5">
        <v>152.101</v>
      </c>
      <c r="AC12" s="5">
        <v>16</v>
      </c>
      <c r="AE12"/>
      <c r="AF12"/>
      <c r="AG12"/>
    </row>
    <row r="13" spans="1:33" x14ac:dyDescent="0.35">
      <c r="E13"/>
      <c r="F13"/>
      <c r="G13"/>
      <c r="H13"/>
      <c r="I13" s="17" t="s">
        <v>135</v>
      </c>
      <c r="J13" s="21">
        <v>6</v>
      </c>
      <c r="K13" s="21">
        <v>7</v>
      </c>
      <c r="L13"/>
      <c r="M13"/>
      <c r="N13"/>
      <c r="O13"/>
      <c r="P13"/>
      <c r="Q13" s="17" t="s">
        <v>135</v>
      </c>
      <c r="R13" s="5">
        <v>35</v>
      </c>
      <c r="S13" s="5">
        <v>65</v>
      </c>
      <c r="U13"/>
      <c r="V13"/>
      <c r="X13"/>
      <c r="Y13"/>
      <c r="Z13"/>
      <c r="AA13" s="17" t="s">
        <v>135</v>
      </c>
      <c r="AB13" s="5">
        <v>45</v>
      </c>
      <c r="AC13" s="5">
        <v>14</v>
      </c>
      <c r="AE13"/>
      <c r="AF13"/>
      <c r="AG13"/>
    </row>
    <row r="14" spans="1:33" x14ac:dyDescent="0.35">
      <c r="E14"/>
      <c r="F14"/>
      <c r="G14"/>
      <c r="H14"/>
      <c r="I14" s="12" t="s">
        <v>123</v>
      </c>
      <c r="J14" s="21">
        <v>32</v>
      </c>
      <c r="K14" s="21">
        <v>30</v>
      </c>
      <c r="L14"/>
      <c r="M14"/>
      <c r="N14"/>
      <c r="O14"/>
      <c r="P14"/>
      <c r="Q14" s="12" t="s">
        <v>123</v>
      </c>
      <c r="R14" s="5">
        <v>180</v>
      </c>
      <c r="S14" s="5">
        <v>430</v>
      </c>
      <c r="U14"/>
      <c r="V14"/>
      <c r="X14"/>
      <c r="Y14"/>
      <c r="Z14"/>
      <c r="AA14" s="12" t="s">
        <v>123</v>
      </c>
      <c r="AB14" s="5">
        <v>257.101</v>
      </c>
      <c r="AC14" s="5">
        <v>105</v>
      </c>
      <c r="AE14"/>
      <c r="AF14"/>
      <c r="AG14"/>
    </row>
    <row r="15" spans="1:33" x14ac:dyDescent="0.35">
      <c r="E15"/>
      <c r="F15"/>
      <c r="G15"/>
      <c r="H15"/>
      <c r="I15"/>
      <c r="J15"/>
      <c r="K15"/>
      <c r="L15"/>
      <c r="M15"/>
      <c r="N15"/>
      <c r="O15"/>
      <c r="P15"/>
      <c r="Q15"/>
      <c r="R15"/>
      <c r="S15"/>
      <c r="U15"/>
      <c r="V15"/>
      <c r="X15"/>
      <c r="Y15"/>
      <c r="Z15"/>
      <c r="AA15"/>
      <c r="AB15"/>
      <c r="AC15"/>
    </row>
    <row r="16" spans="1:33" x14ac:dyDescent="0.35">
      <c r="E16"/>
      <c r="F16"/>
      <c r="G16"/>
      <c r="H16"/>
      <c r="I16"/>
      <c r="J16"/>
      <c r="K16"/>
      <c r="L16"/>
      <c r="M16"/>
      <c r="N16"/>
      <c r="O16"/>
      <c r="P16"/>
      <c r="Q16"/>
      <c r="R16"/>
      <c r="S16"/>
      <c r="U16"/>
      <c r="V16"/>
      <c r="X16"/>
      <c r="Y16"/>
      <c r="Z16"/>
      <c r="AA16"/>
      <c r="AB16"/>
      <c r="AC16"/>
    </row>
    <row r="17" spans="5:29" x14ac:dyDescent="0.35">
      <c r="E17"/>
      <c r="F17"/>
      <c r="G17"/>
      <c r="H17"/>
      <c r="I17"/>
      <c r="J17"/>
      <c r="K17"/>
      <c r="L17"/>
      <c r="M17"/>
      <c r="N17"/>
      <c r="O17"/>
      <c r="P17"/>
      <c r="Q17"/>
      <c r="R17"/>
      <c r="S17"/>
      <c r="U17"/>
      <c r="V17"/>
      <c r="X17"/>
      <c r="Y17"/>
      <c r="Z17"/>
      <c r="AA17"/>
      <c r="AB17"/>
      <c r="AC17"/>
    </row>
    <row r="18" spans="5:29" x14ac:dyDescent="0.35">
      <c r="E18"/>
      <c r="F18"/>
      <c r="G18"/>
      <c r="H18"/>
      <c r="I18"/>
      <c r="J18"/>
      <c r="K18"/>
      <c r="L18"/>
      <c r="M18"/>
      <c r="N18"/>
      <c r="O18"/>
      <c r="P18"/>
      <c r="Q18"/>
      <c r="R18"/>
      <c r="S18"/>
      <c r="U18"/>
      <c r="V18"/>
      <c r="X18"/>
      <c r="Y18"/>
      <c r="Z18"/>
      <c r="AA18"/>
      <c r="AB18"/>
      <c r="AC18"/>
    </row>
    <row r="19" spans="5:29" x14ac:dyDescent="0.35">
      <c r="E19"/>
      <c r="F19"/>
      <c r="G19"/>
      <c r="H19"/>
      <c r="I19"/>
      <c r="J19"/>
      <c r="K19"/>
      <c r="L19"/>
      <c r="M19"/>
      <c r="N19"/>
      <c r="O19"/>
      <c r="P19"/>
      <c r="Q19"/>
      <c r="R19"/>
      <c r="S19"/>
      <c r="U19"/>
      <c r="V19"/>
      <c r="X19"/>
      <c r="Y19"/>
      <c r="Z19"/>
      <c r="AA19"/>
      <c r="AB19"/>
      <c r="AC19"/>
    </row>
    <row r="20" spans="5:29" x14ac:dyDescent="0.35">
      <c r="E20"/>
      <c r="F20"/>
      <c r="G20"/>
      <c r="H20"/>
      <c r="I20"/>
      <c r="J20"/>
      <c r="K20"/>
      <c r="L20"/>
      <c r="M20"/>
      <c r="N20"/>
      <c r="O20"/>
      <c r="P20"/>
      <c r="Q20"/>
      <c r="R20"/>
      <c r="S20"/>
      <c r="U20"/>
      <c r="V20"/>
      <c r="X20"/>
      <c r="Y20"/>
      <c r="Z20"/>
      <c r="AA20"/>
      <c r="AB20"/>
      <c r="AC20"/>
    </row>
    <row r="21" spans="5:29" x14ac:dyDescent="0.35">
      <c r="E21"/>
      <c r="F21"/>
      <c r="G21"/>
      <c r="H21"/>
      <c r="I21"/>
      <c r="J21"/>
      <c r="K21"/>
      <c r="L21"/>
      <c r="M21"/>
      <c r="N21"/>
      <c r="O21"/>
      <c r="P21"/>
      <c r="Q21"/>
      <c r="R21"/>
      <c r="S21"/>
      <c r="U21"/>
      <c r="V21"/>
      <c r="X21"/>
      <c r="Y21"/>
      <c r="Z21"/>
      <c r="AA21"/>
      <c r="AB21"/>
      <c r="AC21"/>
    </row>
    <row r="22" spans="5:29" x14ac:dyDescent="0.35">
      <c r="E22"/>
      <c r="F22"/>
      <c r="G22"/>
      <c r="H22"/>
      <c r="I22"/>
      <c r="J22"/>
      <c r="K22"/>
      <c r="L22"/>
      <c r="M22"/>
      <c r="N22"/>
      <c r="O22"/>
      <c r="P22"/>
      <c r="Q22"/>
      <c r="R22"/>
      <c r="S22"/>
      <c r="U22"/>
      <c r="V22"/>
      <c r="X22"/>
      <c r="Y22"/>
      <c r="Z22"/>
      <c r="AA22"/>
      <c r="AB22"/>
      <c r="AC22"/>
    </row>
    <row r="23" spans="5:29" x14ac:dyDescent="0.35">
      <c r="E23"/>
      <c r="F23"/>
      <c r="G23"/>
      <c r="H23"/>
      <c r="I23"/>
      <c r="J23"/>
      <c r="K23"/>
      <c r="L23"/>
      <c r="M23"/>
      <c r="N23"/>
      <c r="Q23"/>
      <c r="R23"/>
      <c r="S23"/>
      <c r="U23"/>
      <c r="V23"/>
      <c r="X23"/>
      <c r="Y23"/>
      <c r="Z23"/>
      <c r="AA23"/>
      <c r="AB23"/>
      <c r="AC23"/>
    </row>
    <row r="24" spans="5:29" x14ac:dyDescent="0.35">
      <c r="I24"/>
      <c r="J24"/>
      <c r="K24"/>
      <c r="L24"/>
      <c r="M24"/>
      <c r="N24"/>
    </row>
    <row r="25" spans="5:29" x14ac:dyDescent="0.35">
      <c r="I25"/>
      <c r="J25"/>
      <c r="K25"/>
      <c r="L25"/>
      <c r="M25"/>
      <c r="N25"/>
    </row>
    <row r="26" spans="5:29" x14ac:dyDescent="0.35">
      <c r="I26"/>
      <c r="J26"/>
      <c r="K26"/>
      <c r="L26"/>
      <c r="M26"/>
      <c r="N26"/>
    </row>
    <row r="27" spans="5:29" x14ac:dyDescent="0.35">
      <c r="I27"/>
      <c r="J27"/>
      <c r="K27"/>
      <c r="L27"/>
      <c r="M27"/>
      <c r="N27"/>
    </row>
    <row r="28" spans="5:29" x14ac:dyDescent="0.35">
      <c r="I28"/>
      <c r="J28"/>
      <c r="K28"/>
      <c r="L28"/>
      <c r="M28"/>
      <c r="N28"/>
    </row>
    <row r="29" spans="5:29" x14ac:dyDescent="0.35">
      <c r="I29"/>
      <c r="J29"/>
      <c r="K29"/>
      <c r="L29"/>
      <c r="M29"/>
      <c r="N29"/>
    </row>
    <row r="30" spans="5:29" x14ac:dyDescent="0.35">
      <c r="I30"/>
      <c r="J30"/>
      <c r="K30"/>
      <c r="L30"/>
      <c r="M30"/>
      <c r="N30"/>
    </row>
    <row r="31" spans="5:29" x14ac:dyDescent="0.35">
      <c r="I31"/>
      <c r="J31"/>
      <c r="K31"/>
      <c r="L31"/>
      <c r="M31"/>
      <c r="N31"/>
    </row>
    <row r="32" spans="5:29" x14ac:dyDescent="0.35">
      <c r="I32"/>
      <c r="J32"/>
      <c r="K32"/>
      <c r="L32"/>
      <c r="M32"/>
      <c r="N32"/>
    </row>
    <row r="33" spans="9:14" x14ac:dyDescent="0.35">
      <c r="I33"/>
      <c r="J33"/>
      <c r="K33"/>
      <c r="L33"/>
      <c r="M33"/>
      <c r="N33"/>
    </row>
    <row r="34" spans="9:14" x14ac:dyDescent="0.35">
      <c r="I34"/>
      <c r="M34"/>
      <c r="N34"/>
    </row>
    <row r="35" spans="9:14" x14ac:dyDescent="0.35">
      <c r="I35"/>
    </row>
    <row r="36" spans="9:14" x14ac:dyDescent="0.35">
      <c r="I36"/>
    </row>
    <row r="37" spans="9:14" x14ac:dyDescent="0.35">
      <c r="I37"/>
    </row>
    <row r="38" spans="9:14" x14ac:dyDescent="0.35">
      <c r="I38"/>
    </row>
    <row r="39" spans="9:14" x14ac:dyDescent="0.35">
      <c r="I39"/>
    </row>
    <row r="40" spans="9:14" x14ac:dyDescent="0.35">
      <c r="I40"/>
    </row>
    <row r="41" spans="9:14" x14ac:dyDescent="0.35">
      <c r="I41"/>
    </row>
    <row r="42" spans="9:14" x14ac:dyDescent="0.35">
      <c r="I42"/>
    </row>
    <row r="43" spans="9:14" x14ac:dyDescent="0.35">
      <c r="I43"/>
    </row>
    <row r="44" spans="9:14" x14ac:dyDescent="0.35">
      <c r="I44"/>
    </row>
    <row r="45" spans="9:14" x14ac:dyDescent="0.35">
      <c r="I45"/>
    </row>
    <row r="46" spans="9:14" x14ac:dyDescent="0.35">
      <c r="I46"/>
    </row>
    <row r="47" spans="9:14" x14ac:dyDescent="0.35">
      <c r="I47"/>
    </row>
    <row r="48" spans="9:14" x14ac:dyDescent="0.35">
      <c r="I48"/>
    </row>
    <row r="49" spans="9:9" x14ac:dyDescent="0.35">
      <c r="I49"/>
    </row>
    <row r="50" spans="9:9" x14ac:dyDescent="0.35">
      <c r="I50"/>
    </row>
    <row r="51" spans="9:9" x14ac:dyDescent="0.35">
      <c r="I51"/>
    </row>
    <row r="52" spans="9:9" x14ac:dyDescent="0.35">
      <c r="I52"/>
    </row>
    <row r="53" spans="9:9" x14ac:dyDescent="0.35">
      <c r="I53"/>
    </row>
    <row r="54" spans="9:9" x14ac:dyDescent="0.35">
      <c r="I54"/>
    </row>
    <row r="55" spans="9:9" x14ac:dyDescent="0.35">
      <c r="I55"/>
    </row>
    <row r="56" spans="9:9" x14ac:dyDescent="0.35">
      <c r="I56"/>
    </row>
    <row r="57" spans="9:9" x14ac:dyDescent="0.35">
      <c r="I57"/>
    </row>
    <row r="58" spans="9:9" x14ac:dyDescent="0.35">
      <c r="I58"/>
    </row>
    <row r="59" spans="9:9" x14ac:dyDescent="0.35">
      <c r="I59"/>
    </row>
    <row r="60" spans="9:9" x14ac:dyDescent="0.35">
      <c r="I60"/>
    </row>
    <row r="61" spans="9:9" x14ac:dyDescent="0.35">
      <c r="I61"/>
    </row>
    <row r="62" spans="9:9" x14ac:dyDescent="0.35">
      <c r="I62"/>
    </row>
    <row r="63" spans="9:9" x14ac:dyDescent="0.35">
      <c r="I63"/>
    </row>
    <row r="64" spans="9:9" x14ac:dyDescent="0.35">
      <c r="I64"/>
    </row>
    <row r="65" spans="9:9" x14ac:dyDescent="0.35">
      <c r="I65"/>
    </row>
    <row r="66" spans="9:9" x14ac:dyDescent="0.35">
      <c r="I66"/>
    </row>
    <row r="67" spans="9:9" x14ac:dyDescent="0.35">
      <c r="I67"/>
    </row>
    <row r="68" spans="9:9" x14ac:dyDescent="0.35">
      <c r="I68"/>
    </row>
    <row r="69" spans="9:9" x14ac:dyDescent="0.35">
      <c r="I69"/>
    </row>
    <row r="70" spans="9:9" x14ac:dyDescent="0.35">
      <c r="I70"/>
    </row>
    <row r="71" spans="9:9" x14ac:dyDescent="0.35">
      <c r="I71"/>
    </row>
    <row r="72" spans="9:9" x14ac:dyDescent="0.35">
      <c r="I72"/>
    </row>
    <row r="73" spans="9:9" x14ac:dyDescent="0.35">
      <c r="I73"/>
    </row>
    <row r="74" spans="9:9" x14ac:dyDescent="0.35">
      <c r="I74"/>
    </row>
    <row r="75" spans="9:9" x14ac:dyDescent="0.35">
      <c r="I75"/>
    </row>
    <row r="76" spans="9:9" x14ac:dyDescent="0.35">
      <c r="I76"/>
    </row>
    <row r="77" spans="9:9" x14ac:dyDescent="0.35">
      <c r="I77"/>
    </row>
    <row r="78" spans="9:9" x14ac:dyDescent="0.35">
      <c r="I78"/>
    </row>
    <row r="79" spans="9:9" x14ac:dyDescent="0.35">
      <c r="I79"/>
    </row>
    <row r="80" spans="9:9" x14ac:dyDescent="0.35">
      <c r="I80"/>
    </row>
    <row r="81" spans="9:9" x14ac:dyDescent="0.35">
      <c r="I81"/>
    </row>
    <row r="82" spans="9:9" x14ac:dyDescent="0.35">
      <c r="I82"/>
    </row>
    <row r="83" spans="9:9" x14ac:dyDescent="0.35">
      <c r="I83"/>
    </row>
    <row r="84" spans="9:9" x14ac:dyDescent="0.35">
      <c r="I84"/>
    </row>
    <row r="85" spans="9:9" x14ac:dyDescent="0.35">
      <c r="I85"/>
    </row>
    <row r="86" spans="9:9" x14ac:dyDescent="0.35">
      <c r="I86"/>
    </row>
    <row r="87" spans="9:9" x14ac:dyDescent="0.35">
      <c r="I87"/>
    </row>
    <row r="88" spans="9:9" x14ac:dyDescent="0.35">
      <c r="I88"/>
    </row>
    <row r="89" spans="9:9" x14ac:dyDescent="0.35">
      <c r="I89"/>
    </row>
    <row r="90" spans="9:9" x14ac:dyDescent="0.35">
      <c r="I90"/>
    </row>
    <row r="91" spans="9:9" x14ac:dyDescent="0.35">
      <c r="I91"/>
    </row>
    <row r="92" spans="9:9" x14ac:dyDescent="0.35">
      <c r="I92"/>
    </row>
    <row r="93" spans="9:9" x14ac:dyDescent="0.35">
      <c r="I93"/>
    </row>
    <row r="94" spans="9:9" x14ac:dyDescent="0.35">
      <c r="I94"/>
    </row>
    <row r="95" spans="9:9" x14ac:dyDescent="0.35">
      <c r="I95"/>
    </row>
    <row r="96" spans="9:9" x14ac:dyDescent="0.35">
      <c r="I96"/>
    </row>
    <row r="97" spans="9:9" x14ac:dyDescent="0.35">
      <c r="I97"/>
    </row>
    <row r="98" spans="9:9" x14ac:dyDescent="0.35">
      <c r="I98"/>
    </row>
    <row r="99" spans="9:9" x14ac:dyDescent="0.35">
      <c r="I99"/>
    </row>
    <row r="100" spans="9:9" x14ac:dyDescent="0.35">
      <c r="I100"/>
    </row>
    <row r="101" spans="9:9" x14ac:dyDescent="0.35">
      <c r="I101"/>
    </row>
    <row r="102" spans="9:9" x14ac:dyDescent="0.35">
      <c r="I102"/>
    </row>
    <row r="103" spans="9:9" x14ac:dyDescent="0.35">
      <c r="I103"/>
    </row>
    <row r="104" spans="9:9" x14ac:dyDescent="0.35">
      <c r="I104"/>
    </row>
    <row r="105" spans="9:9" x14ac:dyDescent="0.35">
      <c r="I105"/>
    </row>
    <row r="106" spans="9:9" x14ac:dyDescent="0.35">
      <c r="I106"/>
    </row>
    <row r="107" spans="9:9" x14ac:dyDescent="0.35">
      <c r="I107"/>
    </row>
    <row r="108" spans="9:9" x14ac:dyDescent="0.35">
      <c r="I108"/>
    </row>
    <row r="109" spans="9:9" x14ac:dyDescent="0.35">
      <c r="I109"/>
    </row>
    <row r="110" spans="9:9" x14ac:dyDescent="0.35">
      <c r="I110"/>
    </row>
    <row r="111" spans="9:9" x14ac:dyDescent="0.35">
      <c r="I111"/>
    </row>
    <row r="112" spans="9:9" x14ac:dyDescent="0.35">
      <c r="I112"/>
    </row>
    <row r="113" spans="9:9" x14ac:dyDescent="0.35">
      <c r="I113"/>
    </row>
    <row r="114" spans="9:9" x14ac:dyDescent="0.35">
      <c r="I114"/>
    </row>
    <row r="115" spans="9:9" x14ac:dyDescent="0.35">
      <c r="I115"/>
    </row>
    <row r="116" spans="9:9" x14ac:dyDescent="0.35">
      <c r="I116"/>
    </row>
    <row r="117" spans="9:9" x14ac:dyDescent="0.35">
      <c r="I117"/>
    </row>
    <row r="118" spans="9:9" x14ac:dyDescent="0.35">
      <c r="I118"/>
    </row>
    <row r="119" spans="9:9" x14ac:dyDescent="0.35">
      <c r="I119"/>
    </row>
    <row r="120" spans="9:9" x14ac:dyDescent="0.35">
      <c r="I120"/>
    </row>
    <row r="121" spans="9:9" x14ac:dyDescent="0.35">
      <c r="I121"/>
    </row>
    <row r="122" spans="9:9" x14ac:dyDescent="0.35">
      <c r="I122"/>
    </row>
    <row r="123" spans="9:9" x14ac:dyDescent="0.35">
      <c r="I123"/>
    </row>
    <row r="124" spans="9:9" x14ac:dyDescent="0.35">
      <c r="I124"/>
    </row>
    <row r="125" spans="9:9" x14ac:dyDescent="0.35">
      <c r="I125"/>
    </row>
    <row r="126" spans="9:9" x14ac:dyDescent="0.35">
      <c r="I126"/>
    </row>
    <row r="127" spans="9:9" x14ac:dyDescent="0.35">
      <c r="I127"/>
    </row>
    <row r="128" spans="9:9" x14ac:dyDescent="0.35">
      <c r="I128"/>
    </row>
    <row r="129" spans="9:9" x14ac:dyDescent="0.35">
      <c r="I129"/>
    </row>
    <row r="130" spans="9:9" x14ac:dyDescent="0.35">
      <c r="I130"/>
    </row>
    <row r="131" spans="9:9" x14ac:dyDescent="0.35">
      <c r="I131"/>
    </row>
    <row r="132" spans="9:9" x14ac:dyDescent="0.35">
      <c r="I132"/>
    </row>
    <row r="133" spans="9:9" x14ac:dyDescent="0.35">
      <c r="I133"/>
    </row>
    <row r="134" spans="9:9" x14ac:dyDescent="0.35">
      <c r="I134"/>
    </row>
    <row r="135" spans="9:9" x14ac:dyDescent="0.35">
      <c r="I135"/>
    </row>
    <row r="136" spans="9:9" x14ac:dyDescent="0.35">
      <c r="I136"/>
    </row>
    <row r="137" spans="9:9" x14ac:dyDescent="0.35">
      <c r="I137"/>
    </row>
    <row r="138" spans="9:9" x14ac:dyDescent="0.35">
      <c r="I138"/>
    </row>
    <row r="139" spans="9:9" x14ac:dyDescent="0.35">
      <c r="I139"/>
    </row>
    <row r="140" spans="9:9" x14ac:dyDescent="0.35">
      <c r="I140"/>
    </row>
    <row r="141" spans="9:9" x14ac:dyDescent="0.35">
      <c r="I141"/>
    </row>
    <row r="142" spans="9:9" x14ac:dyDescent="0.35">
      <c r="I142"/>
    </row>
    <row r="143" spans="9:9" x14ac:dyDescent="0.35">
      <c r="I143"/>
    </row>
    <row r="144" spans="9:9" x14ac:dyDescent="0.35">
      <c r="I144"/>
    </row>
    <row r="145" spans="9:9" x14ac:dyDescent="0.35">
      <c r="I145"/>
    </row>
    <row r="146" spans="9:9" x14ac:dyDescent="0.35">
      <c r="I146"/>
    </row>
    <row r="147" spans="9:9" x14ac:dyDescent="0.35">
      <c r="I147"/>
    </row>
    <row r="148" spans="9:9" x14ac:dyDescent="0.35">
      <c r="I148"/>
    </row>
    <row r="149" spans="9:9" x14ac:dyDescent="0.35">
      <c r="I149"/>
    </row>
    <row r="150" spans="9:9" x14ac:dyDescent="0.35">
      <c r="I150"/>
    </row>
    <row r="151" spans="9:9" x14ac:dyDescent="0.35">
      <c r="I151"/>
    </row>
    <row r="152" spans="9:9" x14ac:dyDescent="0.35">
      <c r="I152"/>
    </row>
    <row r="153" spans="9:9" x14ac:dyDescent="0.35">
      <c r="I153"/>
    </row>
    <row r="154" spans="9:9" x14ac:dyDescent="0.35">
      <c r="I154"/>
    </row>
    <row r="155" spans="9:9" x14ac:dyDescent="0.35">
      <c r="I155"/>
    </row>
    <row r="156" spans="9:9" x14ac:dyDescent="0.35">
      <c r="I156"/>
    </row>
    <row r="157" spans="9:9" x14ac:dyDescent="0.35">
      <c r="I157"/>
    </row>
    <row r="158" spans="9:9" x14ac:dyDescent="0.35">
      <c r="I158"/>
    </row>
    <row r="159" spans="9:9" x14ac:dyDescent="0.35">
      <c r="I159"/>
    </row>
    <row r="160" spans="9:9" x14ac:dyDescent="0.35">
      <c r="I160"/>
    </row>
    <row r="161" spans="9:9" x14ac:dyDescent="0.35">
      <c r="I161"/>
    </row>
    <row r="162" spans="9:9" x14ac:dyDescent="0.35">
      <c r="I162"/>
    </row>
    <row r="163" spans="9:9" x14ac:dyDescent="0.35">
      <c r="I163"/>
    </row>
    <row r="164" spans="9:9" x14ac:dyDescent="0.35">
      <c r="I164"/>
    </row>
    <row r="165" spans="9:9" x14ac:dyDescent="0.35">
      <c r="I165"/>
    </row>
    <row r="166" spans="9:9" x14ac:dyDescent="0.35">
      <c r="I166"/>
    </row>
    <row r="167" spans="9:9" x14ac:dyDescent="0.35">
      <c r="I167"/>
    </row>
    <row r="168" spans="9:9" x14ac:dyDescent="0.35">
      <c r="I168"/>
    </row>
    <row r="169" spans="9:9" x14ac:dyDescent="0.35">
      <c r="I169"/>
    </row>
    <row r="170" spans="9:9" x14ac:dyDescent="0.35">
      <c r="I170"/>
    </row>
    <row r="171" spans="9:9" x14ac:dyDescent="0.35">
      <c r="I171"/>
    </row>
    <row r="172" spans="9:9" x14ac:dyDescent="0.35">
      <c r="I172"/>
    </row>
    <row r="173" spans="9:9" x14ac:dyDescent="0.35">
      <c r="I173"/>
    </row>
    <row r="174" spans="9:9" x14ac:dyDescent="0.35">
      <c r="I174"/>
    </row>
    <row r="175" spans="9:9" x14ac:dyDescent="0.35">
      <c r="I175"/>
    </row>
    <row r="176" spans="9:9" x14ac:dyDescent="0.35">
      <c r="I176"/>
    </row>
    <row r="177" spans="9:9" x14ac:dyDescent="0.35">
      <c r="I177"/>
    </row>
    <row r="178" spans="9:9" x14ac:dyDescent="0.35">
      <c r="I178"/>
    </row>
    <row r="179" spans="9:9" x14ac:dyDescent="0.35">
      <c r="I179"/>
    </row>
    <row r="180" spans="9:9" x14ac:dyDescent="0.35">
      <c r="I180"/>
    </row>
    <row r="181" spans="9:9" x14ac:dyDescent="0.35">
      <c r="I181"/>
    </row>
    <row r="182" spans="9:9" x14ac:dyDescent="0.35">
      <c r="I182"/>
    </row>
    <row r="183" spans="9:9" x14ac:dyDescent="0.35">
      <c r="I183"/>
    </row>
    <row r="184" spans="9:9" x14ac:dyDescent="0.35">
      <c r="I184"/>
    </row>
    <row r="185" spans="9:9" x14ac:dyDescent="0.35">
      <c r="I185"/>
    </row>
    <row r="186" spans="9:9" x14ac:dyDescent="0.35">
      <c r="I186"/>
    </row>
    <row r="187" spans="9:9" x14ac:dyDescent="0.35">
      <c r="I187"/>
    </row>
    <row r="188" spans="9:9" x14ac:dyDescent="0.35">
      <c r="I188"/>
    </row>
    <row r="189" spans="9:9" x14ac:dyDescent="0.35">
      <c r="I189"/>
    </row>
    <row r="190" spans="9:9" x14ac:dyDescent="0.35">
      <c r="I190"/>
    </row>
    <row r="191" spans="9:9" x14ac:dyDescent="0.35">
      <c r="I191"/>
    </row>
    <row r="192" spans="9:9" x14ac:dyDescent="0.35">
      <c r="I192"/>
    </row>
    <row r="193" spans="9:9" x14ac:dyDescent="0.35">
      <c r="I193"/>
    </row>
    <row r="194" spans="9:9" x14ac:dyDescent="0.35">
      <c r="I194"/>
    </row>
    <row r="195" spans="9:9" x14ac:dyDescent="0.35">
      <c r="I195"/>
    </row>
    <row r="196" spans="9:9" x14ac:dyDescent="0.35">
      <c r="I196"/>
    </row>
    <row r="197" spans="9:9" x14ac:dyDescent="0.35">
      <c r="I197"/>
    </row>
    <row r="198" spans="9:9" x14ac:dyDescent="0.35">
      <c r="I198"/>
    </row>
    <row r="199" spans="9:9" x14ac:dyDescent="0.35">
      <c r="I199"/>
    </row>
    <row r="200" spans="9:9" x14ac:dyDescent="0.35">
      <c r="I200"/>
    </row>
    <row r="201" spans="9:9" x14ac:dyDescent="0.35">
      <c r="I201"/>
    </row>
    <row r="202" spans="9:9" x14ac:dyDescent="0.35">
      <c r="I202"/>
    </row>
    <row r="203" spans="9:9" x14ac:dyDescent="0.35">
      <c r="I203"/>
    </row>
    <row r="204" spans="9:9" x14ac:dyDescent="0.35">
      <c r="I204"/>
    </row>
    <row r="205" spans="9:9" x14ac:dyDescent="0.35">
      <c r="I205"/>
    </row>
    <row r="206" spans="9:9" x14ac:dyDescent="0.35">
      <c r="I206"/>
    </row>
    <row r="207" spans="9:9" x14ac:dyDescent="0.35">
      <c r="I207"/>
    </row>
    <row r="208" spans="9:9" x14ac:dyDescent="0.35">
      <c r="I208"/>
    </row>
    <row r="209" spans="9:9" x14ac:dyDescent="0.35">
      <c r="I209"/>
    </row>
    <row r="210" spans="9:9" x14ac:dyDescent="0.35">
      <c r="I210"/>
    </row>
    <row r="211" spans="9:9" x14ac:dyDescent="0.35">
      <c r="I211"/>
    </row>
    <row r="212" spans="9:9" x14ac:dyDescent="0.35">
      <c r="I212"/>
    </row>
    <row r="213" spans="9:9" x14ac:dyDescent="0.35">
      <c r="I213"/>
    </row>
    <row r="214" spans="9:9" x14ac:dyDescent="0.35">
      <c r="I214"/>
    </row>
    <row r="215" spans="9:9" x14ac:dyDescent="0.35">
      <c r="I215"/>
    </row>
  </sheetData>
  <mergeCells count="8">
    <mergeCell ref="X2:Y2"/>
    <mergeCell ref="AA2:AC2"/>
    <mergeCell ref="U2:V2"/>
    <mergeCell ref="A1:C1"/>
    <mergeCell ref="E1:G1"/>
    <mergeCell ref="M1:O1"/>
    <mergeCell ref="I2:K2"/>
    <mergeCell ref="Q2:S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5A275-33F4-4204-847B-F6CCA1162285}">
  <sheetPr codeName="Sheet5"/>
  <dimension ref="A1:N9"/>
  <sheetViews>
    <sheetView workbookViewId="0">
      <selection activeCell="D23" sqref="D23"/>
    </sheetView>
  </sheetViews>
  <sheetFormatPr defaultRowHeight="15" x14ac:dyDescent="0.35"/>
  <cols>
    <col min="1" max="1" width="18.109375" bestFit="1" customWidth="1"/>
    <col min="2" max="2" width="12.21875" bestFit="1" customWidth="1"/>
    <col min="3" max="3" width="18.6640625" bestFit="1" customWidth="1"/>
    <col min="4" max="4" width="17.21875" bestFit="1" customWidth="1"/>
    <col min="5" max="5" width="12.33203125" bestFit="1" customWidth="1"/>
    <col min="6" max="6" width="10.88671875" bestFit="1" customWidth="1"/>
    <col min="7" max="7" width="17.33203125" bestFit="1" customWidth="1"/>
    <col min="9" max="9" width="19.21875" bestFit="1" customWidth="1"/>
    <col min="10" max="10" width="12.21875" bestFit="1" customWidth="1"/>
    <col min="11" max="11" width="19.21875" bestFit="1" customWidth="1"/>
    <col min="12" max="12" width="17.21875" bestFit="1" customWidth="1"/>
    <col min="13" max="13" width="10.88671875" bestFit="1" customWidth="1"/>
    <col min="14" max="14" width="12.33203125" bestFit="1" customWidth="1"/>
  </cols>
  <sheetData>
    <row r="1" spans="1:14" x14ac:dyDescent="0.35">
      <c r="A1" t="s">
        <v>23</v>
      </c>
      <c r="I1" t="s">
        <v>24</v>
      </c>
    </row>
    <row r="2" spans="1:14" x14ac:dyDescent="0.35">
      <c r="A2" t="s">
        <v>11</v>
      </c>
      <c r="B2" t="s">
        <v>12</v>
      </c>
      <c r="C2" t="s">
        <v>5</v>
      </c>
      <c r="D2" t="s">
        <v>13</v>
      </c>
      <c r="E2" t="s">
        <v>9</v>
      </c>
      <c r="F2" t="s">
        <v>8</v>
      </c>
      <c r="G2" t="s">
        <v>14</v>
      </c>
      <c r="I2" t="s">
        <v>11</v>
      </c>
      <c r="J2" t="s">
        <v>12</v>
      </c>
      <c r="K2" t="s">
        <v>15</v>
      </c>
      <c r="L2" t="s">
        <v>13</v>
      </c>
      <c r="M2" t="s">
        <v>8</v>
      </c>
      <c r="N2" t="s">
        <v>9</v>
      </c>
    </row>
    <row r="3" spans="1:14" x14ac:dyDescent="0.35">
      <c r="A3" t="s">
        <v>77</v>
      </c>
      <c r="B3" s="2">
        <v>45445</v>
      </c>
      <c r="C3" t="s">
        <v>62</v>
      </c>
      <c r="D3" t="s">
        <v>17</v>
      </c>
      <c r="E3" s="5">
        <v>15</v>
      </c>
      <c r="F3">
        <v>3</v>
      </c>
      <c r="G3" s="2">
        <v>46570</v>
      </c>
      <c r="I3" t="s">
        <v>101</v>
      </c>
      <c r="J3" s="2">
        <v>45147</v>
      </c>
      <c r="K3" t="s">
        <v>92</v>
      </c>
      <c r="L3" t="s">
        <v>17</v>
      </c>
      <c r="M3">
        <v>10</v>
      </c>
      <c r="N3">
        <v>7</v>
      </c>
    </row>
    <row r="4" spans="1:14" x14ac:dyDescent="0.35">
      <c r="A4" t="s">
        <v>78</v>
      </c>
      <c r="B4" s="2">
        <v>45483</v>
      </c>
      <c r="C4" t="s">
        <v>71</v>
      </c>
      <c r="D4" t="s">
        <v>44</v>
      </c>
      <c r="E4" s="5">
        <v>15</v>
      </c>
      <c r="F4">
        <v>15</v>
      </c>
      <c r="G4" s="2">
        <v>46570</v>
      </c>
      <c r="I4" t="s">
        <v>102</v>
      </c>
      <c r="J4" s="2">
        <v>45109</v>
      </c>
      <c r="K4" t="s">
        <v>92</v>
      </c>
      <c r="L4" t="s">
        <v>44</v>
      </c>
      <c r="M4">
        <v>5</v>
      </c>
      <c r="N4">
        <v>7</v>
      </c>
    </row>
    <row r="5" spans="1:14" x14ac:dyDescent="0.35">
      <c r="A5" t="s">
        <v>79</v>
      </c>
      <c r="B5" s="2">
        <v>45518</v>
      </c>
      <c r="C5" t="s">
        <v>62</v>
      </c>
      <c r="D5" t="s">
        <v>44</v>
      </c>
      <c r="E5" s="5">
        <v>15</v>
      </c>
      <c r="F5">
        <v>1</v>
      </c>
      <c r="G5" s="2">
        <v>46570</v>
      </c>
      <c r="I5" t="s">
        <v>103</v>
      </c>
      <c r="J5" s="2">
        <v>45511</v>
      </c>
      <c r="K5" t="s">
        <v>98</v>
      </c>
      <c r="L5" t="s">
        <v>44</v>
      </c>
      <c r="M5">
        <v>7</v>
      </c>
      <c r="N5">
        <v>5</v>
      </c>
    </row>
    <row r="6" spans="1:14" x14ac:dyDescent="0.35">
      <c r="A6" t="s">
        <v>80</v>
      </c>
      <c r="B6" s="2">
        <v>45478</v>
      </c>
      <c r="C6" t="s">
        <v>62</v>
      </c>
      <c r="D6" t="s">
        <v>44</v>
      </c>
      <c r="E6" s="5">
        <v>15</v>
      </c>
      <c r="F6">
        <v>2</v>
      </c>
      <c r="G6" s="2">
        <v>46570</v>
      </c>
      <c r="I6" t="s">
        <v>120</v>
      </c>
      <c r="J6" s="2">
        <v>45481</v>
      </c>
      <c r="K6" t="s">
        <v>98</v>
      </c>
      <c r="L6" t="s">
        <v>17</v>
      </c>
      <c r="M6">
        <v>8</v>
      </c>
      <c r="N6">
        <v>5</v>
      </c>
    </row>
    <row r="7" spans="1:14" x14ac:dyDescent="0.35">
      <c r="A7" t="s">
        <v>121</v>
      </c>
      <c r="B7" s="2">
        <v>45507</v>
      </c>
      <c r="C7" t="s">
        <v>81</v>
      </c>
      <c r="D7" t="s">
        <v>17</v>
      </c>
      <c r="E7" s="5">
        <v>10</v>
      </c>
      <c r="F7">
        <v>5</v>
      </c>
      <c r="G7" s="2">
        <v>46571</v>
      </c>
    </row>
    <row r="8" spans="1:14" x14ac:dyDescent="0.35">
      <c r="A8" t="s">
        <v>136</v>
      </c>
      <c r="B8" s="2">
        <v>45119</v>
      </c>
      <c r="C8" t="s">
        <v>62</v>
      </c>
      <c r="D8" t="s">
        <v>16</v>
      </c>
      <c r="E8" s="5">
        <v>15</v>
      </c>
      <c r="F8">
        <v>1</v>
      </c>
      <c r="G8" s="2">
        <v>46215</v>
      </c>
    </row>
    <row r="9" spans="1:14" x14ac:dyDescent="0.35">
      <c r="A9" t="s">
        <v>140</v>
      </c>
      <c r="B9" s="2">
        <v>45155</v>
      </c>
      <c r="C9" t="s">
        <v>81</v>
      </c>
      <c r="D9" t="s">
        <v>17</v>
      </c>
      <c r="E9" s="5">
        <v>10</v>
      </c>
      <c r="F9">
        <v>5</v>
      </c>
      <c r="G9" s="2">
        <v>46251</v>
      </c>
    </row>
  </sheetData>
  <pageMargins left="0.7" right="0.7" top="0.75" bottom="0.75"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08C62-8EEF-45D1-A4A8-DA514B9ACCB1}">
  <sheetPr codeName="Sheet2"/>
  <dimension ref="A1:V5"/>
  <sheetViews>
    <sheetView workbookViewId="0">
      <selection activeCell="E9" sqref="E9"/>
    </sheetView>
  </sheetViews>
  <sheetFormatPr defaultRowHeight="15" x14ac:dyDescent="0.35"/>
  <cols>
    <col min="1" max="1" width="21" bestFit="1" customWidth="1"/>
    <col min="2" max="2" width="23.21875" bestFit="1" customWidth="1"/>
    <col min="3" max="3" width="21.5546875" bestFit="1" customWidth="1"/>
    <col min="4" max="4" width="17.21875" bestFit="1" customWidth="1"/>
    <col min="5" max="5" width="14.88671875" bestFit="1" customWidth="1"/>
    <col min="6" max="6" width="13.44140625" bestFit="1" customWidth="1"/>
    <col min="7" max="7" width="13.6640625" bestFit="1" customWidth="1"/>
    <col min="8" max="8" width="10.88671875" bestFit="1" customWidth="1"/>
    <col min="9" max="9" width="20" bestFit="1" customWidth="1"/>
    <col min="10" max="10" width="12.5546875" bestFit="1" customWidth="1"/>
    <col min="11" max="11" width="8" bestFit="1" customWidth="1"/>
    <col min="13" max="13" width="18" bestFit="1" customWidth="1"/>
    <col min="14" max="14" width="11.88671875" bestFit="1" customWidth="1"/>
    <col min="16" max="16" width="17.21875" bestFit="1" customWidth="1"/>
    <col min="17" max="17" width="15.109375" bestFit="1" customWidth="1"/>
    <col min="18" max="18" width="18.109375" bestFit="1" customWidth="1"/>
    <col min="19" max="19" width="18" bestFit="1" customWidth="1"/>
    <col min="21" max="21" width="18.21875" bestFit="1" customWidth="1"/>
    <col min="22" max="22" width="13.44140625" bestFit="1" customWidth="1"/>
  </cols>
  <sheetData>
    <row r="1" spans="1:22" x14ac:dyDescent="0.35">
      <c r="A1" t="s">
        <v>29</v>
      </c>
      <c r="M1" t="s">
        <v>3</v>
      </c>
      <c r="P1" t="s">
        <v>46</v>
      </c>
      <c r="U1" t="s">
        <v>18</v>
      </c>
    </row>
    <row r="2" spans="1:22" x14ac:dyDescent="0.35">
      <c r="A2" t="s">
        <v>0</v>
      </c>
      <c r="B2" t="s">
        <v>4</v>
      </c>
      <c r="C2" t="s">
        <v>43</v>
      </c>
      <c r="D2" t="s">
        <v>5</v>
      </c>
      <c r="E2" t="s">
        <v>41</v>
      </c>
      <c r="F2" t="s">
        <v>42</v>
      </c>
      <c r="G2" t="s">
        <v>7</v>
      </c>
      <c r="H2" t="s">
        <v>8</v>
      </c>
      <c r="I2" t="s">
        <v>35</v>
      </c>
      <c r="J2" t="s">
        <v>27</v>
      </c>
      <c r="K2" t="s">
        <v>26</v>
      </c>
      <c r="M2" t="s">
        <v>0</v>
      </c>
      <c r="N2" t="s">
        <v>1</v>
      </c>
      <c r="P2" t="s">
        <v>0</v>
      </c>
      <c r="Q2" t="s">
        <v>1</v>
      </c>
      <c r="R2" t="s">
        <v>2</v>
      </c>
      <c r="S2" t="s">
        <v>6</v>
      </c>
      <c r="U2" t="s">
        <v>0</v>
      </c>
      <c r="V2" t="s">
        <v>1</v>
      </c>
    </row>
    <row r="3" spans="1:22" x14ac:dyDescent="0.35">
      <c r="A3" t="s">
        <v>62</v>
      </c>
      <c r="B3" t="s">
        <v>63</v>
      </c>
      <c r="C3" t="s">
        <v>64</v>
      </c>
      <c r="D3" t="s">
        <v>60</v>
      </c>
      <c r="E3" s="5">
        <v>10</v>
      </c>
      <c r="F3" s="5">
        <v>5.423</v>
      </c>
      <c r="G3" s="2">
        <v>45498</v>
      </c>
      <c r="H3">
        <v>10</v>
      </c>
      <c r="I3" s="5">
        <v>15</v>
      </c>
      <c r="J3" s="3">
        <v>7</v>
      </c>
      <c r="K3" s="3">
        <v>3</v>
      </c>
      <c r="M3" t="s">
        <v>58</v>
      </c>
      <c r="N3" t="s">
        <v>59</v>
      </c>
      <c r="P3" t="s">
        <v>60</v>
      </c>
      <c r="Q3" t="s">
        <v>61</v>
      </c>
      <c r="R3" t="s">
        <v>56</v>
      </c>
      <c r="S3" t="s">
        <v>58</v>
      </c>
      <c r="U3" t="s">
        <v>56</v>
      </c>
      <c r="V3" t="s">
        <v>57</v>
      </c>
    </row>
    <row r="4" spans="1:22" x14ac:dyDescent="0.35">
      <c r="A4" t="s">
        <v>71</v>
      </c>
      <c r="B4" t="s">
        <v>72</v>
      </c>
      <c r="C4" t="s">
        <v>73</v>
      </c>
      <c r="D4" t="s">
        <v>69</v>
      </c>
      <c r="E4" s="5">
        <v>5.5266000000000002</v>
      </c>
      <c r="F4" s="5">
        <v>3</v>
      </c>
      <c r="G4" s="2">
        <v>45482</v>
      </c>
      <c r="H4">
        <v>15</v>
      </c>
      <c r="I4" s="5">
        <v>15</v>
      </c>
      <c r="J4" s="3">
        <v>15</v>
      </c>
      <c r="K4" s="3">
        <v>0</v>
      </c>
      <c r="M4" t="s">
        <v>67</v>
      </c>
      <c r="N4" t="s">
        <v>68</v>
      </c>
      <c r="P4" t="s">
        <v>69</v>
      </c>
      <c r="Q4" t="s">
        <v>70</v>
      </c>
      <c r="R4" t="s">
        <v>65</v>
      </c>
      <c r="S4" t="s">
        <v>67</v>
      </c>
      <c r="U4" t="s">
        <v>65</v>
      </c>
      <c r="V4" t="s">
        <v>66</v>
      </c>
    </row>
    <row r="5" spans="1:22" x14ac:dyDescent="0.35">
      <c r="A5" t="s">
        <v>81</v>
      </c>
      <c r="B5" t="s">
        <v>82</v>
      </c>
      <c r="C5" t="s">
        <v>83</v>
      </c>
      <c r="D5" t="s">
        <v>69</v>
      </c>
      <c r="E5" s="5">
        <v>2</v>
      </c>
      <c r="F5" s="5">
        <v>1.0846</v>
      </c>
      <c r="G5" s="2">
        <v>45488</v>
      </c>
      <c r="H5">
        <v>20</v>
      </c>
      <c r="I5" s="5">
        <v>10</v>
      </c>
      <c r="J5" s="3">
        <v>10</v>
      </c>
      <c r="K5" s="3">
        <v>10</v>
      </c>
    </row>
  </sheetData>
  <pageMargins left="0.7" right="0.7" top="0.75" bottom="0.75" header="0.3" footer="0.3"/>
  <tableParts count="4">
    <tablePart r:id="rId1"/>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B4D46-BB49-4797-B6EF-948D94014AB4}">
  <sheetPr codeName="Sheet3"/>
  <dimension ref="A1:S6"/>
  <sheetViews>
    <sheetView workbookViewId="0">
      <selection activeCell="C29" sqref="C29"/>
    </sheetView>
  </sheetViews>
  <sheetFormatPr defaultRowHeight="15" x14ac:dyDescent="0.35"/>
  <cols>
    <col min="1" max="1" width="19.21875" bestFit="1" customWidth="1"/>
    <col min="2" max="2" width="23.5546875" bestFit="1" customWidth="1"/>
    <col min="3" max="3" width="19.44140625" bestFit="1" customWidth="1"/>
    <col min="4" max="4" width="17.21875" bestFit="1" customWidth="1"/>
    <col min="5" max="5" width="20.5546875" bestFit="1" customWidth="1"/>
    <col min="6" max="6" width="17.21875" bestFit="1" customWidth="1"/>
    <col min="7" max="7" width="13.6640625" bestFit="1" customWidth="1"/>
    <col min="8" max="8" width="14.88671875" bestFit="1" customWidth="1"/>
    <col min="9" max="9" width="13.44140625" bestFit="1" customWidth="1"/>
    <col min="10" max="10" width="10.88671875" bestFit="1" customWidth="1"/>
    <col min="11" max="11" width="12.33203125" bestFit="1" customWidth="1"/>
    <col min="12" max="12" width="12.33203125" customWidth="1"/>
    <col min="13" max="13" width="8" bestFit="1" customWidth="1"/>
    <col min="15" max="15" width="18.21875" bestFit="1" customWidth="1"/>
    <col min="16" max="16" width="26.88671875" bestFit="1" customWidth="1"/>
    <col min="18" max="18" width="17.21875" bestFit="1" customWidth="1"/>
    <col min="19" max="19" width="19.88671875" bestFit="1" customWidth="1"/>
  </cols>
  <sheetData>
    <row r="1" spans="1:19" x14ac:dyDescent="0.35">
      <c r="A1" t="s">
        <v>20</v>
      </c>
      <c r="O1" t="s">
        <v>21</v>
      </c>
      <c r="R1" t="s">
        <v>22</v>
      </c>
    </row>
    <row r="2" spans="1:19" x14ac:dyDescent="0.35">
      <c r="A2" t="s">
        <v>0</v>
      </c>
      <c r="B2" t="s">
        <v>4</v>
      </c>
      <c r="C2" t="s">
        <v>43</v>
      </c>
      <c r="D2" t="s">
        <v>5</v>
      </c>
      <c r="E2" t="s">
        <v>19</v>
      </c>
      <c r="F2" t="s">
        <v>2</v>
      </c>
      <c r="G2" t="s">
        <v>7</v>
      </c>
      <c r="H2" t="s">
        <v>41</v>
      </c>
      <c r="I2" t="s">
        <v>42</v>
      </c>
      <c r="J2" t="s">
        <v>8</v>
      </c>
      <c r="K2" t="s">
        <v>9</v>
      </c>
      <c r="L2" t="s">
        <v>28</v>
      </c>
      <c r="M2" t="s">
        <v>26</v>
      </c>
      <c r="O2" t="s">
        <v>0</v>
      </c>
      <c r="P2" t="s">
        <v>1</v>
      </c>
      <c r="R2" t="s">
        <v>0</v>
      </c>
      <c r="S2" t="s">
        <v>1</v>
      </c>
    </row>
    <row r="3" spans="1:19" x14ac:dyDescent="0.35">
      <c r="A3" t="s">
        <v>92</v>
      </c>
      <c r="B3" t="s">
        <v>93</v>
      </c>
      <c r="C3" t="s">
        <v>94</v>
      </c>
      <c r="D3" t="s">
        <v>60</v>
      </c>
      <c r="E3" t="s">
        <v>74</v>
      </c>
      <c r="F3" t="s">
        <v>74</v>
      </c>
      <c r="G3" s="2">
        <v>45490</v>
      </c>
      <c r="H3" s="5">
        <v>2</v>
      </c>
      <c r="I3" s="5">
        <v>4</v>
      </c>
      <c r="J3">
        <v>25</v>
      </c>
      <c r="K3" s="5">
        <v>7</v>
      </c>
      <c r="L3">
        <v>15</v>
      </c>
      <c r="M3">
        <v>10</v>
      </c>
      <c r="O3" t="s">
        <v>74</v>
      </c>
      <c r="P3" t="s">
        <v>76</v>
      </c>
      <c r="R3" t="s">
        <v>74</v>
      </c>
      <c r="S3" t="s">
        <v>75</v>
      </c>
    </row>
    <row r="4" spans="1:19" x14ac:dyDescent="0.35">
      <c r="A4" t="s">
        <v>98</v>
      </c>
      <c r="B4" t="s">
        <v>99</v>
      </c>
      <c r="C4" t="s">
        <v>100</v>
      </c>
      <c r="D4" t="s">
        <v>69</v>
      </c>
      <c r="E4" t="s">
        <v>95</v>
      </c>
      <c r="F4" t="s">
        <v>95</v>
      </c>
      <c r="G4" s="2">
        <v>45484</v>
      </c>
      <c r="H4" s="5">
        <v>3</v>
      </c>
      <c r="I4" s="5">
        <v>1.6274999999999999</v>
      </c>
      <c r="J4">
        <v>15</v>
      </c>
      <c r="K4" s="5">
        <v>5</v>
      </c>
      <c r="L4">
        <v>15</v>
      </c>
      <c r="M4">
        <v>0</v>
      </c>
      <c r="O4" t="s">
        <v>84</v>
      </c>
      <c r="P4" t="s">
        <v>86</v>
      </c>
      <c r="R4" t="s">
        <v>84</v>
      </c>
      <c r="S4" t="s">
        <v>85</v>
      </c>
    </row>
    <row r="5" spans="1:19" x14ac:dyDescent="0.35">
      <c r="A5" t="s">
        <v>117</v>
      </c>
      <c r="B5" t="s">
        <v>118</v>
      </c>
      <c r="C5" t="s">
        <v>119</v>
      </c>
      <c r="D5" t="s">
        <v>60</v>
      </c>
      <c r="E5" t="s">
        <v>84</v>
      </c>
      <c r="F5" t="s">
        <v>84</v>
      </c>
      <c r="G5" s="2">
        <v>45484</v>
      </c>
      <c r="H5" s="5">
        <v>52</v>
      </c>
      <c r="I5" s="5">
        <v>28.21</v>
      </c>
      <c r="J5">
        <v>10</v>
      </c>
      <c r="K5" s="5">
        <v>100</v>
      </c>
      <c r="L5">
        <v>0</v>
      </c>
      <c r="M5">
        <v>10</v>
      </c>
      <c r="O5" t="s">
        <v>87</v>
      </c>
      <c r="P5" t="s">
        <v>89</v>
      </c>
      <c r="R5" t="s">
        <v>87</v>
      </c>
      <c r="S5" t="s">
        <v>88</v>
      </c>
    </row>
    <row r="6" spans="1:19" x14ac:dyDescent="0.35">
      <c r="O6" t="s">
        <v>95</v>
      </c>
      <c r="P6" t="s">
        <v>97</v>
      </c>
      <c r="R6" t="s">
        <v>95</v>
      </c>
      <c r="S6" t="s">
        <v>96</v>
      </c>
    </row>
  </sheetData>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E86E0-7E23-496D-848E-EC49B8AED436}">
  <sheetPr codeName="Sheet4"/>
  <dimension ref="A1:C5"/>
  <sheetViews>
    <sheetView zoomScale="145" zoomScaleNormal="145" workbookViewId="0">
      <selection activeCell="E18" sqref="E18"/>
    </sheetView>
  </sheetViews>
  <sheetFormatPr defaultRowHeight="15" x14ac:dyDescent="0.35"/>
  <cols>
    <col min="1" max="1" width="17.21875" bestFit="1" customWidth="1"/>
    <col min="2" max="2" width="8.33203125" bestFit="1" customWidth="1"/>
    <col min="3" max="3" width="13.44140625" bestFit="1" customWidth="1"/>
  </cols>
  <sheetData>
    <row r="1" spans="1:3" x14ac:dyDescent="0.35">
      <c r="A1" t="s">
        <v>25</v>
      </c>
    </row>
    <row r="2" spans="1:3" x14ac:dyDescent="0.35">
      <c r="A2" t="s">
        <v>0</v>
      </c>
      <c r="B2" t="s">
        <v>1</v>
      </c>
      <c r="C2" t="s">
        <v>10</v>
      </c>
    </row>
    <row r="3" spans="1:3" x14ac:dyDescent="0.35">
      <c r="A3" t="s">
        <v>16</v>
      </c>
      <c r="B3" t="s">
        <v>30</v>
      </c>
      <c r="C3" t="s">
        <v>33</v>
      </c>
    </row>
    <row r="4" spans="1:3" x14ac:dyDescent="0.35">
      <c r="A4" t="s">
        <v>17</v>
      </c>
      <c r="B4" t="s">
        <v>31</v>
      </c>
      <c r="C4" t="s">
        <v>33</v>
      </c>
    </row>
    <row r="5" spans="1:3" x14ac:dyDescent="0.35">
      <c r="A5" t="s">
        <v>44</v>
      </c>
      <c r="B5" t="s">
        <v>45</v>
      </c>
      <c r="C5" t="s">
        <v>33</v>
      </c>
    </row>
  </sheetData>
  <phoneticPr fontId="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7C733-A1A6-46FF-9B1B-B01D8B6C45C4}">
  <sheetPr codeName="Sheet6"/>
  <dimension ref="A1:H36"/>
  <sheetViews>
    <sheetView workbookViewId="0">
      <pane ySplit="1" topLeftCell="A11" activePane="bottomLeft" state="frozen"/>
      <selection pane="bottomLeft" activeCell="J30" sqref="J30"/>
    </sheetView>
  </sheetViews>
  <sheetFormatPr defaultRowHeight="15" x14ac:dyDescent="0.35"/>
  <cols>
    <col min="1" max="1" width="13.44140625" bestFit="1" customWidth="1"/>
    <col min="7" max="7" width="21" bestFit="1" customWidth="1"/>
    <col min="8" max="8" width="18.5546875" bestFit="1" customWidth="1"/>
  </cols>
  <sheetData>
    <row r="1" spans="1:8" x14ac:dyDescent="0.35">
      <c r="A1" s="4" t="s">
        <v>32</v>
      </c>
      <c r="C1" s="4" t="s">
        <v>38</v>
      </c>
      <c r="D1" s="4" t="s">
        <v>39</v>
      </c>
      <c r="E1" s="4" t="s">
        <v>36</v>
      </c>
      <c r="G1" s="4" t="s">
        <v>48</v>
      </c>
      <c r="H1" s="4" t="s">
        <v>47</v>
      </c>
    </row>
    <row r="2" spans="1:8" x14ac:dyDescent="0.35">
      <c r="A2" t="s">
        <v>33</v>
      </c>
      <c r="C2" t="s">
        <v>37</v>
      </c>
      <c r="D2" t="s">
        <v>40</v>
      </c>
      <c r="E2" s="6">
        <v>0.54249999999999998</v>
      </c>
      <c r="G2" s="10" t="s">
        <v>23</v>
      </c>
      <c r="H2" t="s">
        <v>49</v>
      </c>
    </row>
    <row r="3" spans="1:8" x14ac:dyDescent="0.35">
      <c r="A3" t="s">
        <v>34</v>
      </c>
      <c r="C3" t="s">
        <v>40</v>
      </c>
      <c r="D3" t="s">
        <v>37</v>
      </c>
      <c r="E3" s="6">
        <v>1.8422000000000001</v>
      </c>
      <c r="G3" s="10" t="s">
        <v>23</v>
      </c>
      <c r="H3" t="s">
        <v>50</v>
      </c>
    </row>
    <row r="4" spans="1:8" x14ac:dyDescent="0.35">
      <c r="A4" t="s">
        <v>55</v>
      </c>
      <c r="G4" s="10" t="s">
        <v>23</v>
      </c>
      <c r="H4" t="s">
        <v>51</v>
      </c>
    </row>
    <row r="5" spans="1:8" x14ac:dyDescent="0.35">
      <c r="A5" t="s">
        <v>104</v>
      </c>
      <c r="G5" s="10" t="s">
        <v>23</v>
      </c>
      <c r="H5" t="s">
        <v>52</v>
      </c>
    </row>
    <row r="6" spans="1:8" x14ac:dyDescent="0.35">
      <c r="A6" t="s">
        <v>106</v>
      </c>
      <c r="G6" s="10" t="s">
        <v>23</v>
      </c>
      <c r="H6" t="s">
        <v>53</v>
      </c>
    </row>
    <row r="7" spans="1:8" x14ac:dyDescent="0.35">
      <c r="A7" t="s">
        <v>105</v>
      </c>
      <c r="G7" s="10" t="s">
        <v>23</v>
      </c>
      <c r="H7" t="s">
        <v>54</v>
      </c>
    </row>
    <row r="8" spans="1:8" x14ac:dyDescent="0.35">
      <c r="G8" s="9" t="s">
        <v>24</v>
      </c>
      <c r="H8" t="s">
        <v>49</v>
      </c>
    </row>
    <row r="9" spans="1:8" x14ac:dyDescent="0.35">
      <c r="G9" s="9" t="s">
        <v>24</v>
      </c>
      <c r="H9" t="s">
        <v>90</v>
      </c>
    </row>
    <row r="10" spans="1:8" x14ac:dyDescent="0.35">
      <c r="G10" s="9" t="s">
        <v>24</v>
      </c>
      <c r="H10" t="s">
        <v>51</v>
      </c>
    </row>
    <row r="11" spans="1:8" x14ac:dyDescent="0.35">
      <c r="G11" s="9" t="s">
        <v>24</v>
      </c>
      <c r="H11" t="s">
        <v>53</v>
      </c>
    </row>
    <row r="12" spans="1:8" x14ac:dyDescent="0.35">
      <c r="G12" s="9" t="s">
        <v>24</v>
      </c>
      <c r="H12" t="s">
        <v>91</v>
      </c>
    </row>
    <row r="13" spans="1:8" x14ac:dyDescent="0.35">
      <c r="G13" s="8" t="s">
        <v>29</v>
      </c>
      <c r="H13" t="s">
        <v>0</v>
      </c>
    </row>
    <row r="14" spans="1:8" x14ac:dyDescent="0.35">
      <c r="G14" s="8" t="s">
        <v>29</v>
      </c>
      <c r="H14" t="s">
        <v>107</v>
      </c>
    </row>
    <row r="15" spans="1:8" x14ac:dyDescent="0.35">
      <c r="G15" s="8" t="s">
        <v>29</v>
      </c>
      <c r="H15" t="s">
        <v>108</v>
      </c>
    </row>
    <row r="16" spans="1:8" x14ac:dyDescent="0.35">
      <c r="G16" s="8" t="s">
        <v>29</v>
      </c>
      <c r="H16" t="s">
        <v>50</v>
      </c>
    </row>
    <row r="17" spans="7:8" x14ac:dyDescent="0.35">
      <c r="G17" s="8" t="s">
        <v>29</v>
      </c>
      <c r="H17" t="s">
        <v>109</v>
      </c>
    </row>
    <row r="18" spans="7:8" x14ac:dyDescent="0.35">
      <c r="G18" s="8" t="s">
        <v>29</v>
      </c>
      <c r="H18" t="s">
        <v>110</v>
      </c>
    </row>
    <row r="19" spans="7:8" x14ac:dyDescent="0.35">
      <c r="G19" s="8" t="s">
        <v>29</v>
      </c>
      <c r="H19" t="s">
        <v>111</v>
      </c>
    </row>
    <row r="20" spans="7:8" x14ac:dyDescent="0.35">
      <c r="G20" s="8" t="s">
        <v>29</v>
      </c>
      <c r="H20" t="s">
        <v>53</v>
      </c>
    </row>
    <row r="21" spans="7:8" x14ac:dyDescent="0.35">
      <c r="G21" s="8" t="s">
        <v>29</v>
      </c>
      <c r="H21" t="s">
        <v>112</v>
      </c>
    </row>
    <row r="22" spans="7:8" x14ac:dyDescent="0.35">
      <c r="G22" s="8" t="s">
        <v>29</v>
      </c>
      <c r="H22" t="s">
        <v>113</v>
      </c>
    </row>
    <row r="23" spans="7:8" x14ac:dyDescent="0.35">
      <c r="G23" s="8" t="s">
        <v>29</v>
      </c>
      <c r="H23" t="s">
        <v>114</v>
      </c>
    </row>
    <row r="24" spans="7:8" x14ac:dyDescent="0.35">
      <c r="G24" s="7" t="s">
        <v>20</v>
      </c>
      <c r="H24" t="s">
        <v>0</v>
      </c>
    </row>
    <row r="25" spans="7:8" x14ac:dyDescent="0.35">
      <c r="G25" s="7" t="s">
        <v>20</v>
      </c>
      <c r="H25" t="s">
        <v>107</v>
      </c>
    </row>
    <row r="26" spans="7:8" x14ac:dyDescent="0.35">
      <c r="G26" s="7" t="s">
        <v>20</v>
      </c>
      <c r="H26" t="s">
        <v>108</v>
      </c>
    </row>
    <row r="27" spans="7:8" x14ac:dyDescent="0.35">
      <c r="G27" s="7" t="s">
        <v>20</v>
      </c>
      <c r="H27" t="s">
        <v>50</v>
      </c>
    </row>
    <row r="28" spans="7:8" x14ac:dyDescent="0.35">
      <c r="G28" s="7" t="s">
        <v>20</v>
      </c>
      <c r="H28" t="s">
        <v>115</v>
      </c>
    </row>
    <row r="29" spans="7:8" x14ac:dyDescent="0.35">
      <c r="G29" s="7" t="s">
        <v>20</v>
      </c>
      <c r="H29" t="s">
        <v>116</v>
      </c>
    </row>
    <row r="30" spans="7:8" x14ac:dyDescent="0.35">
      <c r="G30" s="7" t="s">
        <v>20</v>
      </c>
      <c r="H30" t="s">
        <v>111</v>
      </c>
    </row>
    <row r="31" spans="7:8" x14ac:dyDescent="0.35">
      <c r="G31" s="7" t="s">
        <v>20</v>
      </c>
      <c r="H31" t="s">
        <v>109</v>
      </c>
    </row>
    <row r="32" spans="7:8" x14ac:dyDescent="0.35">
      <c r="G32" s="7" t="s">
        <v>20</v>
      </c>
      <c r="H32" t="s">
        <v>110</v>
      </c>
    </row>
    <row r="33" spans="7:8" x14ac:dyDescent="0.35">
      <c r="G33" s="7" t="s">
        <v>20</v>
      </c>
      <c r="H33" t="s">
        <v>53</v>
      </c>
    </row>
    <row r="34" spans="7:8" x14ac:dyDescent="0.35">
      <c r="G34" s="7" t="s">
        <v>20</v>
      </c>
      <c r="H34" t="s">
        <v>112</v>
      </c>
    </row>
    <row r="35" spans="7:8" x14ac:dyDescent="0.35">
      <c r="G35" s="7" t="s">
        <v>20</v>
      </c>
      <c r="H35" t="s">
        <v>113</v>
      </c>
    </row>
    <row r="36" spans="7:8" x14ac:dyDescent="0.35">
      <c r="G36" s="7" t="s">
        <v>20</v>
      </c>
      <c r="H36" t="s">
        <v>114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EDC6F03-0A2A-475F-A39E-AE3BE2613C0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Home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Sanan Gambarov</dc:creator>
  <cp:lastModifiedBy>Sanan Gambarov</cp:lastModifiedBy>
  <dcterms:created xsi:type="dcterms:W3CDTF">2024-07-04T11:43:48Z</dcterms:created>
  <dcterms:modified xsi:type="dcterms:W3CDTF">2024-07-14T20:38:19Z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2024-07-05T18:41:23Z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c7784f04-d21e-4b87-bde2-c4117a935a3d</vt:lpwstr>
  </property>
  <property fmtid="{D5CDD505-2E9C-101B-9397-08002B2CF9AE}" pid="7" name="MSIP_Label_defa4170-0d19-0005-0004-bc88714345d2_ActionId">
    <vt:lpwstr>43cdb414-5e33-441c-a155-723e8364f9a9</vt:lpwstr>
  </property>
  <property fmtid="{D5CDD505-2E9C-101B-9397-08002B2CF9AE}" pid="8" name="MSIP_Label_defa4170-0d19-0005-0004-bc88714345d2_ContentBits">
    <vt:lpwstr>0</vt:lpwstr>
  </property>
</Properties>
</file>