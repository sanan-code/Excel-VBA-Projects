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D:\Dost Tədris Mərkəzi\Seminar\Projects\"/>
    </mc:Choice>
  </mc:AlternateContent>
  <xr:revisionPtr revIDLastSave="0" documentId="13_ncr:1_{4E60AB7B-4681-45CD-B8F9-18F1BAE886CF}" xr6:coauthVersionLast="47" xr6:coauthVersionMax="47" xr10:uidLastSave="{00000000-0000-0000-0000-000000000000}"/>
  <bookViews>
    <workbookView showHorizontalScroll="0" showVerticalScroll="0" showSheetTabs="0" xWindow="-108" yWindow="-108" windowWidth="23256" windowHeight="13896" activeTab="1" xr2:uid="{E6CB65F6-1423-4340-A383-DA15887F7968}"/>
  </bookViews>
  <sheets>
    <sheet name="Source" sheetId="5" r:id="rId1"/>
    <sheet name="Home" sheetId="4" r:id="rId2"/>
    <sheet name="Pivot" sheetId="6" r:id="rId3"/>
    <sheet name="Calendar" sheetId="1" r:id="rId4"/>
    <sheet name="Rev-Exp Source" sheetId="2" r:id="rId5"/>
    <sheet name="Main Database" sheetId="3" r:id="rId6"/>
  </sheets>
  <functionGroups builtInGroupCount="19"/>
  <definedNames>
    <definedName name="_xlnm._FilterDatabase" localSheetId="5" hidden="1">'Main Database'!$A$1:$F$81</definedName>
    <definedName name="Slicer_Category">#N/A</definedName>
    <definedName name="Slicer_Maddə">#N/A</definedName>
    <definedName name="Slicer_Years__Date">#N/A</definedName>
  </definedNames>
  <calcPr calcId="191029"/>
  <pivotCaches>
    <pivotCache cacheId="7"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1" i="3" l="1"/>
  <c r="H81" i="3"/>
  <c r="G8" i="3"/>
  <c r="H32" i="3"/>
  <c r="H36" i="3"/>
  <c r="G37" i="3"/>
  <c r="G38" i="3"/>
  <c r="H40" i="3"/>
  <c r="G44" i="3"/>
  <c r="H49" i="3"/>
  <c r="H58" i="3"/>
  <c r="G66" i="3"/>
  <c r="H72" i="3"/>
  <c r="G78" i="3"/>
  <c r="G79" i="3"/>
  <c r="G80" i="3"/>
  <c r="H74" i="3"/>
  <c r="H73" i="3"/>
  <c r="G59" i="3"/>
  <c r="G52" i="3"/>
  <c r="G46" i="3"/>
  <c r="G39" i="3"/>
  <c r="H35" i="3"/>
  <c r="H34" i="3"/>
  <c r="H15" i="3"/>
  <c r="G14" i="3"/>
  <c r="G12" i="3"/>
  <c r="H10" i="3"/>
  <c r="H7" i="3"/>
  <c r="H6" i="3"/>
  <c r="G4" i="3"/>
  <c r="E19" i="6"/>
  <c r="E13" i="6"/>
  <c r="H79" i="3" l="1"/>
  <c r="H80" i="3"/>
  <c r="H78" i="3"/>
  <c r="G77" i="3"/>
  <c r="H77" i="3"/>
  <c r="H76" i="3"/>
  <c r="G76" i="3"/>
  <c r="G67" i="3"/>
  <c r="G69" i="3"/>
  <c r="G58" i="3"/>
  <c r="H71" i="3"/>
  <c r="H69" i="3"/>
  <c r="G74" i="3"/>
  <c r="H75" i="3"/>
  <c r="H70" i="3"/>
  <c r="G73" i="3"/>
  <c r="G72" i="3"/>
  <c r="H66" i="3"/>
  <c r="G71" i="3"/>
  <c r="H59" i="3"/>
  <c r="G75" i="3"/>
  <c r="G70" i="3"/>
  <c r="H67" i="3"/>
  <c r="H45" i="3"/>
  <c r="H68" i="3"/>
  <c r="H60" i="3"/>
  <c r="G68" i="3"/>
  <c r="G60" i="3"/>
  <c r="G51" i="3"/>
  <c r="H65" i="3"/>
  <c r="H57" i="3"/>
  <c r="G65" i="3"/>
  <c r="G57" i="3"/>
  <c r="H64" i="3"/>
  <c r="H56" i="3"/>
  <c r="G64" i="3"/>
  <c r="G56" i="3"/>
  <c r="H63" i="3"/>
  <c r="H55" i="3"/>
  <c r="G63" i="3"/>
  <c r="G55" i="3"/>
  <c r="H62" i="3"/>
  <c r="H54" i="3"/>
  <c r="G62" i="3"/>
  <c r="G54" i="3"/>
  <c r="H61" i="3"/>
  <c r="H53" i="3"/>
  <c r="G61" i="3"/>
  <c r="G53" i="3"/>
  <c r="G48" i="3"/>
  <c r="G47" i="3"/>
  <c r="G31" i="3"/>
  <c r="G43" i="3"/>
  <c r="H51" i="3"/>
  <c r="H48" i="3"/>
  <c r="H38" i="3"/>
  <c r="H43" i="3"/>
  <c r="H47" i="3"/>
  <c r="G50" i="3"/>
  <c r="G42" i="3"/>
  <c r="H41" i="3"/>
  <c r="H46" i="3"/>
  <c r="G49" i="3"/>
  <c r="G36" i="3"/>
  <c r="H52" i="3"/>
  <c r="G35" i="3"/>
  <c r="H50" i="3"/>
  <c r="H42" i="3"/>
  <c r="G45" i="3"/>
  <c r="H44" i="3"/>
  <c r="G32" i="3"/>
  <c r="H33" i="3"/>
  <c r="G40" i="3"/>
  <c r="G34" i="3"/>
  <c r="H25" i="3"/>
  <c r="H39" i="3"/>
  <c r="G41" i="3"/>
  <c r="G33" i="3"/>
  <c r="G25" i="3"/>
  <c r="H37" i="3"/>
  <c r="H23" i="3"/>
  <c r="G28" i="3"/>
  <c r="G23" i="3"/>
  <c r="G26" i="3"/>
  <c r="H31" i="3"/>
  <c r="H28" i="3"/>
  <c r="H26" i="3"/>
  <c r="H30" i="3"/>
  <c r="G30" i="3"/>
  <c r="H29" i="3"/>
  <c r="G29" i="3"/>
  <c r="H27" i="3"/>
  <c r="G27" i="3"/>
  <c r="H24" i="3"/>
  <c r="G24" i="3"/>
  <c r="H13" i="3"/>
  <c r="H22" i="3"/>
  <c r="G22" i="3"/>
  <c r="H8" i="3"/>
  <c r="H21" i="3"/>
  <c r="G21" i="3"/>
  <c r="H20" i="3"/>
  <c r="G20" i="3"/>
  <c r="H19" i="3"/>
  <c r="G19" i="3"/>
  <c r="H18" i="3"/>
  <c r="G18" i="3"/>
  <c r="H17" i="3"/>
  <c r="G17" i="3"/>
  <c r="H16" i="3"/>
  <c r="G16" i="3"/>
  <c r="H12" i="3"/>
  <c r="H9" i="3"/>
  <c r="H5" i="3"/>
  <c r="H4" i="3"/>
  <c r="G13" i="3"/>
  <c r="G9" i="3"/>
  <c r="H11" i="3"/>
  <c r="H3" i="3"/>
  <c r="G10" i="3"/>
  <c r="G15" i="3"/>
  <c r="G7" i="3"/>
  <c r="G6" i="3"/>
  <c r="G5" i="3"/>
  <c r="H14" i="3"/>
  <c r="G11" i="3"/>
  <c r="G3" i="3"/>
  <c r="G2" i="3"/>
  <c r="H2" i="3"/>
  <c r="E6" i="6"/>
  <c r="E23" i="6" l="1"/>
</calcChain>
</file>

<file path=xl/sharedStrings.xml><?xml version="1.0" encoding="utf-8"?>
<sst xmlns="http://schemas.openxmlformats.org/spreadsheetml/2006/main" count="845" uniqueCount="181">
  <si>
    <t>Date</t>
  </si>
  <si>
    <t>monNum</t>
  </si>
  <si>
    <t>Period</t>
  </si>
  <si>
    <t>monName</t>
  </si>
  <si>
    <t>Year</t>
  </si>
  <si>
    <t>Dekabr</t>
  </si>
  <si>
    <t>ID</t>
  </si>
  <si>
    <t>Category</t>
  </si>
  <si>
    <t>Source</t>
  </si>
  <si>
    <t>Rev/Exp ID</t>
  </si>
  <si>
    <t>Amount</t>
  </si>
  <si>
    <t>Note</t>
  </si>
  <si>
    <t>-</t>
  </si>
  <si>
    <t>revexp-20231202-105217</t>
  </si>
  <si>
    <t>Avqust</t>
  </si>
  <si>
    <t>Sentyabr</t>
  </si>
  <si>
    <t>Oktyabr</t>
  </si>
  <si>
    <t>Noyabr</t>
  </si>
  <si>
    <t>main-20231202-1336412</t>
  </si>
  <si>
    <t>Row Labels</t>
  </si>
  <si>
    <t>Grand Total</t>
  </si>
  <si>
    <t>Sum of Amount</t>
  </si>
  <si>
    <t>Revenue</t>
  </si>
  <si>
    <t>Expense</t>
  </si>
  <si>
    <t>2023</t>
  </si>
  <si>
    <t>Column Labels</t>
  </si>
  <si>
    <t>may</t>
  </si>
  <si>
    <t>Years (Date)</t>
  </si>
  <si>
    <t>Fevral</t>
  </si>
  <si>
    <t>Mart</t>
  </si>
  <si>
    <t>Aprel</t>
  </si>
  <si>
    <t>Iyun</t>
  </si>
  <si>
    <t>Iyul</t>
  </si>
  <si>
    <t>Maddə</t>
  </si>
  <si>
    <t>Maddə Kateqoriyası</t>
  </si>
  <si>
    <t>Count of ID</t>
  </si>
  <si>
    <t>qaliq budce</t>
  </si>
  <si>
    <t>String</t>
  </si>
  <si>
    <t>İcarə</t>
  </si>
  <si>
    <t>Kommunal</t>
  </si>
  <si>
    <t>İşıq pulu</t>
  </si>
  <si>
    <t>İnternet</t>
  </si>
  <si>
    <t>Digər xərclər</t>
  </si>
  <si>
    <t>Saxlanma xərcləri</t>
  </si>
  <si>
    <t>Büdcə xərcləri</t>
  </si>
  <si>
    <t>DSMF</t>
  </si>
  <si>
    <t>Bələdiyyə</t>
  </si>
  <si>
    <t>Su pulu</t>
  </si>
  <si>
    <t>Qaz pulu</t>
  </si>
  <si>
    <t>Telefon / rabitə</t>
  </si>
  <si>
    <t>Xidmət haqqları</t>
  </si>
  <si>
    <t>Təsərrüfat xərci</t>
  </si>
  <si>
    <t>Dəftərxana xərcləri</t>
  </si>
  <si>
    <t>Sair ödəmələr</t>
  </si>
  <si>
    <t>Ezamiyyət xərcləri</t>
  </si>
  <si>
    <t>Bank xidmət haqqı</t>
  </si>
  <si>
    <t>Gəlir vergisi</t>
  </si>
  <si>
    <t>ƏDV</t>
  </si>
  <si>
    <t>Sadələşdirilmiş vergi</t>
  </si>
  <si>
    <t>Sığorta</t>
  </si>
  <si>
    <t>Əmlak vergisi</t>
  </si>
  <si>
    <t>revexp-20231202-105218</t>
  </si>
  <si>
    <t>revexp-20231202-105219</t>
  </si>
  <si>
    <t>revexp-20231202-105220</t>
  </si>
  <si>
    <t>revexp-20231202-105221</t>
  </si>
  <si>
    <t>revexp-20231202-105222</t>
  </si>
  <si>
    <t>revexp-20231202-105223</t>
  </si>
  <si>
    <t>revexp-20231202-105224</t>
  </si>
  <si>
    <t>revexp-20231202-105225</t>
  </si>
  <si>
    <t>revexp-20231202-105226</t>
  </si>
  <si>
    <t>revexp-20231202-105227</t>
  </si>
  <si>
    <t>revexp-20231202-105228</t>
  </si>
  <si>
    <t>revexp-20231202-105229</t>
  </si>
  <si>
    <t>revexp-20231202-105230</t>
  </si>
  <si>
    <t>revexp-20231202-105231</t>
  </si>
  <si>
    <t>revexp-20231202-105232</t>
  </si>
  <si>
    <t>revexp-20231202-105233</t>
  </si>
  <si>
    <t>revexp-20231202-105234</t>
  </si>
  <si>
    <t>revexp-20231202-105235</t>
  </si>
  <si>
    <t>revexp-20231202-105236</t>
  </si>
  <si>
    <t>Rev / Exp</t>
  </si>
  <si>
    <t>Exp</t>
  </si>
  <si>
    <t>Satış</t>
  </si>
  <si>
    <t>Qida</t>
  </si>
  <si>
    <t>Qeyri-qida</t>
  </si>
  <si>
    <t>Daşınma</t>
  </si>
  <si>
    <t>Bolt</t>
  </si>
  <si>
    <t>Wolt</t>
  </si>
  <si>
    <t>Xidmət</t>
  </si>
  <si>
    <t>revexp-20231202-105237</t>
  </si>
  <si>
    <t>revexp-20231202-105238</t>
  </si>
  <si>
    <t>revexp-20231202-105239</t>
  </si>
  <si>
    <t>revexp-20231202-105240</t>
  </si>
  <si>
    <t>revexp-20231202-105241</t>
  </si>
  <si>
    <t>Rev</t>
  </si>
  <si>
    <t>main-20231202-1336413</t>
  </si>
  <si>
    <t>main-20231202-1336414</t>
  </si>
  <si>
    <t>main-20231202-1336415</t>
  </si>
  <si>
    <t>main-20231202-1336416</t>
  </si>
  <si>
    <t>main-20231202-1336417</t>
  </si>
  <si>
    <t>main-20231202-1336418</t>
  </si>
  <si>
    <t>main-20231202-1336419</t>
  </si>
  <si>
    <t>main-20231202-1336420</t>
  </si>
  <si>
    <t>main-20231202-1336421</t>
  </si>
  <si>
    <t>main-20231202-1336422</t>
  </si>
  <si>
    <t>main-20231202-1336423</t>
  </si>
  <si>
    <t>main-20231202-1336424</t>
  </si>
  <si>
    <t>main-20231202-1336425</t>
  </si>
  <si>
    <t>main-20231202-1336426</t>
  </si>
  <si>
    <t>main-20231202-1336427</t>
  </si>
  <si>
    <t>main-20231202-1336428</t>
  </si>
  <si>
    <t>main-20231202-1336429</t>
  </si>
  <si>
    <t>main-20231202-1336430</t>
  </si>
  <si>
    <t>main-20231202-1336431</t>
  </si>
  <si>
    <t>main-20231202-1336432</t>
  </si>
  <si>
    <t>main-20231202-1336433</t>
  </si>
  <si>
    <t>main-20231202-1336434</t>
  </si>
  <si>
    <t>main-20231202-1336435</t>
  </si>
  <si>
    <t>main-20231202-1336436</t>
  </si>
  <si>
    <t>main-20231202-1336437</t>
  </si>
  <si>
    <t>main-20231202-1336438</t>
  </si>
  <si>
    <t>main-20231202-1336439</t>
  </si>
  <si>
    <t>main-20231202-1336440</t>
  </si>
  <si>
    <t>main-20231202-1336441</t>
  </si>
  <si>
    <t>main-20231202-1336442</t>
  </si>
  <si>
    <t>main-20231202-1336443</t>
  </si>
  <si>
    <t>main-20231202-1336444</t>
  </si>
  <si>
    <t>main-20231202-1336445</t>
  </si>
  <si>
    <t>main-20231202-1336446</t>
  </si>
  <si>
    <t>main-20231202-1336447</t>
  </si>
  <si>
    <t>main-20231202-1336448</t>
  </si>
  <si>
    <t>main-20231202-1336449</t>
  </si>
  <si>
    <t>main-20231202-1336450</t>
  </si>
  <si>
    <t>main-20231202-1336451</t>
  </si>
  <si>
    <t>main-20231202-1336452</t>
  </si>
  <si>
    <t>main-20231202-1336453</t>
  </si>
  <si>
    <t>main-20231202-1336454</t>
  </si>
  <si>
    <t>main-20231202-1336455</t>
  </si>
  <si>
    <t>main-20231202-1336456</t>
  </si>
  <si>
    <t>main-20231202-1336457</t>
  </si>
  <si>
    <t>main-20231202-1336458</t>
  </si>
  <si>
    <t>main-20231202-1336459</t>
  </si>
  <si>
    <t>main-20231202-1336460</t>
  </si>
  <si>
    <t>main-20231202-1336461</t>
  </si>
  <si>
    <t>main-20231202-1336462</t>
  </si>
  <si>
    <t>main-20231202-1336463</t>
  </si>
  <si>
    <t>main-20231202-1336464</t>
  </si>
  <si>
    <t>main-20231202-1336465</t>
  </si>
  <si>
    <t>main-20231202-1336466</t>
  </si>
  <si>
    <t>main-20231202-1336467</t>
  </si>
  <si>
    <t>main-20231202-1336468</t>
  </si>
  <si>
    <t>main-20231202-1336469</t>
  </si>
  <si>
    <t>main-20231202-1336470</t>
  </si>
  <si>
    <t>main-20231202-1336471</t>
  </si>
  <si>
    <t>main-20231202-1336472</t>
  </si>
  <si>
    <t>main-20231202-1336473</t>
  </si>
  <si>
    <t>main-20231202-1336474</t>
  </si>
  <si>
    <t>main-20231202-1336475</t>
  </si>
  <si>
    <t>main-20231202-1336476</t>
  </si>
  <si>
    <t>main-20231202-1336477</t>
  </si>
  <si>
    <t>main-20231202-1336478</t>
  </si>
  <si>
    <t>main-20231202-1336479</t>
  </si>
  <si>
    <t>main-20231202-1336480</t>
  </si>
  <si>
    <t>main-20231202-1336482</t>
  </si>
  <si>
    <t>main-20231202-1336483</t>
  </si>
  <si>
    <t>main-20231202-1336484</t>
  </si>
  <si>
    <t>main-20231202-1336485</t>
  </si>
  <si>
    <t>main-20231202-1336488</t>
  </si>
  <si>
    <t>main-20231202-1336497</t>
  </si>
  <si>
    <t>main-20231202-1336498</t>
  </si>
  <si>
    <t>main-20231202-1336500</t>
  </si>
  <si>
    <t>main-20231202-1336505</t>
  </si>
  <si>
    <t>main-20231202-1336506</t>
  </si>
  <si>
    <t>Gəlir</t>
  </si>
  <si>
    <t>Xərc</t>
  </si>
  <si>
    <t>2020</t>
  </si>
  <si>
    <t>2021</t>
  </si>
  <si>
    <t>2022</t>
  </si>
  <si>
    <t>Yanvar</t>
  </si>
  <si>
    <t>May</t>
  </si>
  <si>
    <t>main-20240526-1300480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</si>
</sst>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0.00\ &quot;₼&quot;_-;\-* #,##0.00\ &quot;₼&quot;_-;_-* &quot;-&quot;??\ &quot;₼&quot;_-;_-@_-"/>
    <numFmt numFmtId="164" formatCode="_-* #,##0.00\ [$₼-42C]_-;\-* #,##0.00\ [$₼-42C]_-;_-* &quot;-&quot;??\ [$₼-42C]_-;_-@_-"/>
  </numFmts>
  <fonts count="6" x14ac:knownFonts="1">
    <font>
      <sz val="11"/>
      <color theme="1"/>
      <name val="Calibri"/>
      <family val="2"/>
      <charset val="186"/>
      <scheme val="minor"/>
    </font>
    <font>
      <b/>
      <sz val="10"/>
      <color theme="1"/>
      <name val="Palatino Linotype"/>
      <family val="1"/>
    </font>
    <font>
      <sz val="11"/>
      <color theme="1"/>
      <name val="Palatino Linotype"/>
      <family val="1"/>
    </font>
    <font>
      <sz val="11"/>
      <color theme="1"/>
      <name val="Calibri"/>
      <family val="2"/>
      <charset val="186"/>
      <scheme val="minor"/>
    </font>
    <font>
      <b/>
      <sz val="11"/>
      <color theme="1"/>
      <name val="Palatino Linotype"/>
      <family val="1"/>
    </font>
    <font>
      <sz val="8"/>
      <name val="Calibri"/>
      <family val="2"/>
      <charset val="186"/>
      <scheme val="minor"/>
    </font>
  </fonts>
  <fills count="6">
    <fill>
      <patternFill patternType="none"/>
    </fill>
    <fill>
      <patternFill patternType="gray125"/>
    </fill>
    <fill>
      <patternFill patternType="solid">
        <fgColor rgb="FF92D050"/>
        <bgColor indexed="64"/>
      </patternFill>
    </fill>
    <fill>
      <patternFill patternType="solid">
        <fgColor rgb="FFF9C256"/>
        <bgColor indexed="64"/>
      </patternFill>
    </fill>
    <fill>
      <patternFill patternType="solid">
        <fgColor rgb="FF283B5A"/>
        <bgColor indexed="64"/>
      </patternFill>
    </fill>
    <fill>
      <patternFill patternType="solid">
        <fgColor rgb="FF132139"/>
        <bgColor indexed="64"/>
      </patternFill>
    </fill>
  </fills>
  <borders count="1">
    <border>
      <left/>
      <right/>
      <top/>
      <bottom/>
      <diagonal/>
    </border>
  </borders>
  <cellStyleXfs count="2">
    <xf numFmtId="0" fontId="0" fillId="0" borderId="0"/>
    <xf numFmtId="44" fontId="3" fillId="0" borderId="0" applyFont="0" applyFill="0" applyBorder="0" applyAlignment="0" applyProtection="0"/>
  </cellStyleXfs>
  <cellXfs count="17">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14" fontId="2" fillId="0" borderId="0" xfId="0" applyNumberFormat="1" applyFont="1" applyAlignment="1">
      <alignment horizontal="center" vertical="center"/>
    </xf>
    <xf numFmtId="0" fontId="4" fillId="2" borderId="0" xfId="0" applyFont="1" applyFill="1" applyAlignment="1">
      <alignment horizontal="center" vertical="center"/>
    </xf>
    <xf numFmtId="0" fontId="0" fillId="3" borderId="0" xfId="0" applyFill="1"/>
    <xf numFmtId="0" fontId="0" fillId="4" borderId="0" xfId="0" applyFill="1"/>
    <xf numFmtId="0" fontId="0" fillId="5" borderId="0" xfId="0" applyFill="1"/>
    <xf numFmtId="0" fontId="0" fillId="0" borderId="0" xfId="0" pivotButton="1"/>
    <xf numFmtId="0" fontId="0" fillId="0" borderId="0" xfId="0" applyAlignment="1">
      <alignment horizontal="left"/>
    </xf>
    <xf numFmtId="164" fontId="0" fillId="0" borderId="0" xfId="0" applyNumberFormat="1"/>
    <xf numFmtId="44" fontId="0" fillId="0" borderId="0" xfId="1" applyFont="1"/>
    <xf numFmtId="2" fontId="0" fillId="0" borderId="0" xfId="0" applyNumberFormat="1"/>
    <xf numFmtId="44" fontId="0" fillId="0" borderId="0" xfId="0" applyNumberFormat="1"/>
    <xf numFmtId="0" fontId="0" fillId="4" borderId="0" xfId="0" applyFill="1" applyAlignment="1">
      <alignment horizontal="center"/>
    </xf>
    <xf numFmtId="0" fontId="0" fillId="0" borderId="0" xfId="0" applyNumberFormat="1"/>
    <xf numFmtId="0" fontId="2" fillId="0" borderId="0" xfId="0" applyNumberFormat="1" applyFont="1" applyAlignment="1">
      <alignment horizontal="center" vertical="center"/>
    </xf>
  </cellXfs>
  <cellStyles count="2">
    <cellStyle name="Currency" xfId="1" builtinId="4"/>
    <cellStyle name="Normal" xfId="0" builtinId="0"/>
  </cellStyles>
  <dxfs count="15">
    <dxf>
      <font>
        <b val="0"/>
        <i val="0"/>
        <strike val="0"/>
        <condense val="0"/>
        <extend val="0"/>
        <outline val="0"/>
        <shadow val="0"/>
        <u val="none"/>
        <vertAlign val="baseline"/>
        <sz val="11"/>
        <color theme="1"/>
        <name val="Palatino Linotype"/>
        <family val="1"/>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Palatino Linotype"/>
        <family val="1"/>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Palatino Linotype"/>
        <family val="1"/>
        <scheme val="none"/>
      </font>
      <fill>
        <patternFill patternType="solid">
          <fgColor indexed="64"/>
          <bgColor rgb="FF92D050"/>
        </patternFill>
      </fill>
      <alignment horizontal="center" vertical="center" textRotation="0" wrapText="0" indent="0" justifyLastLine="0" shrinkToFit="0" readingOrder="0"/>
    </dxf>
    <dxf>
      <numFmt numFmtId="2" formatCode="0.00"/>
    </dxf>
    <dxf>
      <numFmt numFmtId="164" formatCode="_-* #,##0.00\ [$₼-42C]_-;\-* #,##0.00\ [$₼-42C]_-;_-* &quot;-&quot;??\ [$₼-42C]_-;_-@_-"/>
    </dxf>
    <dxf>
      <numFmt numFmtId="2" formatCode="0.00"/>
    </dxf>
    <dxf>
      <font>
        <color theme="0"/>
      </font>
    </dxf>
    <dxf>
      <font>
        <sz val="14"/>
      </font>
      <fill>
        <patternFill>
          <bgColor rgb="FF283B5A"/>
        </patternFill>
      </fill>
    </dxf>
  </dxfs>
  <tableStyles count="1" defaultTableStyle="TableStyleMedium2" defaultPivotStyle="PivotStyleLight16">
    <tableStyle name="Slicer Style 3 2" pivot="0" table="0" count="5" xr9:uid="{6CA3F542-F7BA-4602-A089-0DC65F9EFD23}">
      <tableStyleElement type="wholeTable" dxfId="14"/>
      <tableStyleElement type="headerRow" dxfId="13"/>
    </tableStyle>
  </tableStyles>
  <colors>
    <mruColors>
      <color rgb="FF283B5A"/>
      <color rgb="FF132139"/>
      <color rgb="FFFFFFFF"/>
      <color rgb="FFE9EAE3"/>
      <color rgb="FFF9C256"/>
    </mruColors>
  </colors>
  <extLst>
    <ext xmlns:x14="http://schemas.microsoft.com/office/spreadsheetml/2009/9/main" uri="{46F421CA-312F-682f-3DD2-61675219B42D}">
      <x14:dxfs count="3">
        <dxf>
          <font>
            <sz val="10"/>
            <color rgb="FF132139"/>
          </font>
          <fill>
            <patternFill>
              <bgColor theme="0"/>
            </patternFill>
          </fill>
        </dxf>
        <dxf>
          <font>
            <sz val="10"/>
            <color rgb="FF132139"/>
          </font>
          <fill>
            <patternFill>
              <bgColor rgb="FFFFFFFF"/>
            </patternFill>
          </fill>
        </dxf>
        <dxf>
          <font>
            <sz val="10"/>
            <color theme="0"/>
          </font>
        </dxf>
      </x14:dxfs>
    </ext>
    <ext xmlns:x14="http://schemas.microsoft.com/office/spreadsheetml/2009/9/main" uri="{EB79DEF2-80B8-43e5-95BD-54CBDDF9020C}">
      <x14:slicerStyles defaultSlicerStyle="SlicerStyleLight1">
        <x14:slicerStyle name="Slicer Style 3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Management.xlsm]Pivot!PivotTable11</c:name>
    <c:fmtId val="2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doughnutChart>
        <c:varyColors val="1"/>
        <c:ser>
          <c:idx val="0"/>
          <c:order val="0"/>
          <c:tx>
            <c:strRef>
              <c:f>Pivot!$B$4</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8086-4084-B498-61CD44735DDF}"/>
              </c:ext>
            </c:extLst>
          </c:dPt>
          <c:dPt>
            <c:idx val="1"/>
            <c:bubble3D val="0"/>
            <c:spPr>
              <a:solidFill>
                <a:schemeClr val="accent2"/>
              </a:solidFill>
              <a:ln w="19050">
                <a:noFill/>
              </a:ln>
              <a:effectLst/>
            </c:spPr>
            <c:extLst>
              <c:ext xmlns:c16="http://schemas.microsoft.com/office/drawing/2014/chart" uri="{C3380CC4-5D6E-409C-BE32-E72D297353CC}">
                <c16:uniqueId val="{00000003-8086-4084-B498-61CD44735DDF}"/>
              </c:ext>
            </c:extLst>
          </c:dPt>
          <c:cat>
            <c:strRef>
              <c:f>Pivot!$A$5:$A$7</c:f>
              <c:strCache>
                <c:ptCount val="2"/>
                <c:pt idx="0">
                  <c:v>Gəlir</c:v>
                </c:pt>
                <c:pt idx="1">
                  <c:v>Xərc</c:v>
                </c:pt>
              </c:strCache>
            </c:strRef>
          </c:cat>
          <c:val>
            <c:numRef>
              <c:f>Pivot!$B$5:$B$7</c:f>
              <c:numCache>
                <c:formatCode>General</c:formatCode>
                <c:ptCount val="2"/>
                <c:pt idx="0">
                  <c:v>4051</c:v>
                </c:pt>
                <c:pt idx="1">
                  <c:v>278</c:v>
                </c:pt>
              </c:numCache>
            </c:numRef>
          </c:val>
          <c:extLst>
            <c:ext xmlns:c16="http://schemas.microsoft.com/office/drawing/2014/chart" uri="{C3380CC4-5D6E-409C-BE32-E72D297353CC}">
              <c16:uniqueId val="{00000004-8086-4084-B498-61CD44735DD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Palatino Linotype" panose="020405020505050303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Management.xlsm]Pivot!PivotTable18</c:name>
    <c:fmtId val="13"/>
  </c:pivotSource>
  <c:chart>
    <c:title>
      <c:tx>
        <c:rich>
          <a:bodyPr rot="0" spcFirstLastPara="1" vertOverflow="ellipsis" vert="horz" wrap="square" anchor="ctr" anchorCtr="1"/>
          <a:lstStyle/>
          <a:p>
            <a:pPr algn="ctr">
              <a:defRPr lang="en-US" sz="1400" b="1" i="0" u="none" strike="noStrike" kern="1200" spc="0" baseline="0">
                <a:solidFill>
                  <a:schemeClr val="bg1"/>
                </a:solidFill>
                <a:latin typeface="Palatino Linotype" panose="02040502050505030304" pitchFamily="18" charset="0"/>
                <a:ea typeface="+mn-ea"/>
                <a:cs typeface="+mn-cs"/>
              </a:defRPr>
            </a:pPr>
            <a:r>
              <a:rPr lang="az-Latn-AZ" sz="1400" b="1">
                <a:latin typeface="Palatino Linotype" panose="02040502050505030304" pitchFamily="18" charset="0"/>
              </a:rPr>
              <a:t>İllər</a:t>
            </a:r>
            <a:r>
              <a:rPr lang="az-Latn-AZ" sz="1400" b="1" baseline="0">
                <a:latin typeface="Palatino Linotype" panose="02040502050505030304" pitchFamily="18" charset="0"/>
              </a:rPr>
              <a:t> üzrə Gəlirlər</a:t>
            </a:r>
            <a:endParaRPr lang="en-US" sz="1400" b="1">
              <a:latin typeface="Palatino Linotype" panose="02040502050505030304" pitchFamily="18" charset="0"/>
            </a:endParaRPr>
          </a:p>
        </c:rich>
      </c:tx>
      <c:overlay val="0"/>
      <c:spPr>
        <a:noFill/>
        <a:ln>
          <a:noFill/>
        </a:ln>
        <a:effectLst/>
      </c:spPr>
      <c:txPr>
        <a:bodyPr rot="0" spcFirstLastPara="1" vertOverflow="ellipsis" vert="horz" wrap="square" anchor="ctr" anchorCtr="1"/>
        <a:lstStyle/>
        <a:p>
          <a:pPr algn="ctr">
            <a:defRPr lang="en-US" sz="1400" b="1" i="0" u="none" strike="noStrike" kern="1200" spc="0" baseline="0">
              <a:solidFill>
                <a:schemeClr val="bg1"/>
              </a:solidFill>
              <a:latin typeface="Palatino Linotype" panose="02040502050505030304" pitchFamily="18" charset="0"/>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noFill/>
          </a:ln>
          <a:effectLst/>
        </c:spPr>
        <c:marker>
          <c:symbol val="none"/>
        </c:marker>
        <c:dLbl>
          <c:idx val="0"/>
          <c:numFmt formatCode="#,##0.00" sourceLinked="0"/>
          <c:spPr>
            <a:noFill/>
            <a:ln>
              <a:noFill/>
            </a:ln>
            <a:effectLst/>
          </c:spPr>
          <c:txPr>
            <a:bodyPr rot="0" spcFirstLastPara="1" vertOverflow="ellipsis" vert="horz" wrap="square" anchor="ctr" anchorCtr="1"/>
            <a:lstStyle/>
            <a:p>
              <a:pPr>
                <a:defRPr lang="en-US" sz="800" b="0" i="0" u="none" strike="noStrike" kern="1200" baseline="0">
                  <a:solidFill>
                    <a:schemeClr val="bg1"/>
                  </a:solidFill>
                  <a:latin typeface="Palatino Linotype" panose="02040502050505030304" pitchFamily="18"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noFill/>
          </a:ln>
          <a:effectLst/>
        </c:spPr>
      </c:pivotFmt>
      <c:pivotFmt>
        <c:idx val="7"/>
        <c:spPr>
          <a:solidFill>
            <a:schemeClr val="accent6"/>
          </a:solidFill>
          <a:ln w="19050">
            <a:noFill/>
          </a:ln>
          <a:effectLst/>
        </c:spPr>
      </c:pivotFmt>
      <c:pivotFmt>
        <c:idx val="8"/>
        <c:spPr>
          <a:solidFill>
            <a:schemeClr val="accent6"/>
          </a:solidFill>
          <a:ln w="19050">
            <a:noFill/>
          </a:ln>
          <a:effectLst/>
        </c:spPr>
      </c:pivotFmt>
      <c:pivotFmt>
        <c:idx val="9"/>
        <c:spPr>
          <a:solidFill>
            <a:schemeClr val="accent6"/>
          </a:solidFill>
          <a:ln w="19050">
            <a:noFill/>
          </a:ln>
          <a:effectLst/>
        </c:spPr>
      </c:pivotFmt>
      <c:pivotFmt>
        <c:idx val="10"/>
        <c:spPr>
          <a:solidFill>
            <a:schemeClr val="accent6"/>
          </a:solidFill>
          <a:ln w="19050">
            <a:noFill/>
          </a:ln>
          <a:effectLst/>
        </c:spPr>
      </c:pivotFmt>
      <c:pivotFmt>
        <c:idx val="11"/>
        <c:spPr>
          <a:solidFill>
            <a:schemeClr val="accent6"/>
          </a:solidFill>
          <a:ln w="19050">
            <a:noFill/>
          </a:ln>
          <a:effectLst/>
        </c:spPr>
      </c:pivotFmt>
      <c:pivotFmt>
        <c:idx val="12"/>
        <c:spPr>
          <a:solidFill>
            <a:schemeClr val="accent6"/>
          </a:solidFill>
          <a:ln w="19050">
            <a:noFill/>
          </a:ln>
          <a:effectLst/>
        </c:spPr>
      </c:pivotFmt>
    </c:pivotFmts>
    <c:plotArea>
      <c:layout/>
      <c:pieChart>
        <c:varyColors val="1"/>
        <c:ser>
          <c:idx val="0"/>
          <c:order val="0"/>
          <c:tx>
            <c:strRef>
              <c:f>Pivot!$J$4</c:f>
              <c:strCache>
                <c:ptCount val="1"/>
                <c:pt idx="0">
                  <c:v>Total</c:v>
                </c:pt>
              </c:strCache>
            </c:strRef>
          </c:tx>
          <c:spPr>
            <a:ln>
              <a:noFill/>
            </a:ln>
          </c:spPr>
          <c:dPt>
            <c:idx val="0"/>
            <c:bubble3D val="0"/>
            <c:explosion val="16"/>
            <c:spPr>
              <a:solidFill>
                <a:schemeClr val="accent6"/>
              </a:solidFill>
              <a:ln w="19050">
                <a:noFill/>
              </a:ln>
              <a:effectLst/>
            </c:spPr>
            <c:extLst>
              <c:ext xmlns:c16="http://schemas.microsoft.com/office/drawing/2014/chart" uri="{C3380CC4-5D6E-409C-BE32-E72D297353CC}">
                <c16:uniqueId val="{00000001-6843-42FF-A62D-A08C5BCB6144}"/>
              </c:ext>
            </c:extLst>
          </c:dPt>
          <c:dPt>
            <c:idx val="1"/>
            <c:bubble3D val="0"/>
            <c:spPr>
              <a:solidFill>
                <a:schemeClr val="accent5"/>
              </a:solidFill>
              <a:ln w="19050">
                <a:noFill/>
              </a:ln>
              <a:effectLst/>
            </c:spPr>
            <c:extLst>
              <c:ext xmlns:c16="http://schemas.microsoft.com/office/drawing/2014/chart" uri="{C3380CC4-5D6E-409C-BE32-E72D297353CC}">
                <c16:uniqueId val="{00000003-6843-42FF-A62D-A08C5BCB6144}"/>
              </c:ext>
            </c:extLst>
          </c:dPt>
          <c:dPt>
            <c:idx val="2"/>
            <c:bubble3D val="0"/>
            <c:spPr>
              <a:solidFill>
                <a:schemeClr val="accent4"/>
              </a:solidFill>
              <a:ln w="19050">
                <a:noFill/>
              </a:ln>
              <a:effectLst/>
            </c:spPr>
            <c:extLst>
              <c:ext xmlns:c16="http://schemas.microsoft.com/office/drawing/2014/chart" uri="{C3380CC4-5D6E-409C-BE32-E72D297353CC}">
                <c16:uniqueId val="{00000005-6843-42FF-A62D-A08C5BCB6144}"/>
              </c:ext>
            </c:extLst>
          </c:dPt>
          <c:dPt>
            <c:idx val="3"/>
            <c:bubble3D val="0"/>
            <c:spPr>
              <a:solidFill>
                <a:schemeClr val="accent6">
                  <a:lumMod val="60000"/>
                </a:schemeClr>
              </a:solidFill>
              <a:ln w="19050">
                <a:noFill/>
              </a:ln>
              <a:effectLst/>
            </c:spPr>
            <c:extLst>
              <c:ext xmlns:c16="http://schemas.microsoft.com/office/drawing/2014/chart" uri="{C3380CC4-5D6E-409C-BE32-E72D297353CC}">
                <c16:uniqueId val="{00000007-DD15-4626-A37A-EFE027CBF704}"/>
              </c:ext>
            </c:extLst>
          </c:dPt>
          <c:dPt>
            <c:idx val="4"/>
            <c:bubble3D val="0"/>
            <c:spPr>
              <a:solidFill>
                <a:schemeClr val="accent5">
                  <a:lumMod val="60000"/>
                </a:schemeClr>
              </a:solidFill>
              <a:ln w="19050">
                <a:noFill/>
              </a:ln>
              <a:effectLst/>
            </c:spPr>
            <c:extLst>
              <c:ext xmlns:c16="http://schemas.microsoft.com/office/drawing/2014/chart" uri="{C3380CC4-5D6E-409C-BE32-E72D297353CC}">
                <c16:uniqueId val="{00000009-748A-4C94-8E8D-642E1F7C8535}"/>
              </c:ext>
            </c:extLst>
          </c:dPt>
          <c:dLbls>
            <c:numFmt formatCode="#,##0.00" sourceLinked="0"/>
            <c:spPr>
              <a:noFill/>
              <a:ln>
                <a:noFill/>
              </a:ln>
              <a:effectLst/>
            </c:spPr>
            <c:txPr>
              <a:bodyPr rot="0" spcFirstLastPara="1" vertOverflow="ellipsis" vert="horz" wrap="square" anchor="ctr" anchorCtr="1"/>
              <a:lstStyle/>
              <a:p>
                <a:pPr>
                  <a:defRPr lang="en-US" sz="800" b="0" i="0" u="none" strike="noStrike" kern="1200" baseline="0">
                    <a:solidFill>
                      <a:schemeClr val="bg1"/>
                    </a:solidFill>
                    <a:latin typeface="Palatino Linotype" panose="02040502050505030304" pitchFamily="18"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Pivot!$I$5:$I$9</c:f>
              <c:strCache>
                <c:ptCount val="4"/>
                <c:pt idx="0">
                  <c:v>2020</c:v>
                </c:pt>
                <c:pt idx="1">
                  <c:v>2021</c:v>
                </c:pt>
                <c:pt idx="2">
                  <c:v>2022</c:v>
                </c:pt>
                <c:pt idx="3">
                  <c:v>2023</c:v>
                </c:pt>
              </c:strCache>
            </c:strRef>
          </c:cat>
          <c:val>
            <c:numRef>
              <c:f>Pivot!$J$5:$J$9</c:f>
              <c:numCache>
                <c:formatCode>General</c:formatCode>
                <c:ptCount val="4"/>
                <c:pt idx="0">
                  <c:v>1013</c:v>
                </c:pt>
                <c:pt idx="1">
                  <c:v>1286</c:v>
                </c:pt>
                <c:pt idx="2">
                  <c:v>1211</c:v>
                </c:pt>
                <c:pt idx="3">
                  <c:v>4329</c:v>
                </c:pt>
              </c:numCache>
            </c:numRef>
          </c:val>
          <c:extLst>
            <c:ext xmlns:c16="http://schemas.microsoft.com/office/drawing/2014/chart" uri="{C3380CC4-5D6E-409C-BE32-E72D297353CC}">
              <c16:uniqueId val="{00000006-6843-42FF-A62D-A08C5BCB614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Management.xlsm]Pivot!PivotTable2</c:name>
    <c:fmtId val="4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az-Latn-AZ" sz="1400">
                <a:solidFill>
                  <a:schemeClr val="bg1"/>
                </a:solidFill>
                <a:latin typeface="Palatino Linotype" panose="02040502050505030304" pitchFamily="18" charset="0"/>
              </a:rPr>
              <a:t>Aylar üzrə Gəlir və Xərclər</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Pivot!$O$4:$O$5</c:f>
              <c:strCache>
                <c:ptCount val="1"/>
                <c:pt idx="0">
                  <c:v>Gəlir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Pivot!$N$6:$N$14</c:f>
              <c:strCache>
                <c:ptCount val="9"/>
                <c:pt idx="0">
                  <c:v>Yanvar</c:v>
                </c:pt>
                <c:pt idx="1">
                  <c:v>Fevral</c:v>
                </c:pt>
                <c:pt idx="2">
                  <c:v>Mart</c:v>
                </c:pt>
                <c:pt idx="3">
                  <c:v>Aprel</c:v>
                </c:pt>
                <c:pt idx="4">
                  <c:v>may</c:v>
                </c:pt>
                <c:pt idx="5">
                  <c:v>Iyun</c:v>
                </c:pt>
                <c:pt idx="6">
                  <c:v>Iyul</c:v>
                </c:pt>
                <c:pt idx="7">
                  <c:v>Oktyabr</c:v>
                </c:pt>
                <c:pt idx="8">
                  <c:v>Dekabr</c:v>
                </c:pt>
              </c:strCache>
            </c:strRef>
          </c:cat>
          <c:val>
            <c:numRef>
              <c:f>Pivot!$O$6:$O$14</c:f>
              <c:numCache>
                <c:formatCode>General</c:formatCode>
                <c:ptCount val="9"/>
                <c:pt idx="0">
                  <c:v>306</c:v>
                </c:pt>
                <c:pt idx="1">
                  <c:v>7</c:v>
                </c:pt>
                <c:pt idx="2">
                  <c:v>85</c:v>
                </c:pt>
                <c:pt idx="3">
                  <c:v>336</c:v>
                </c:pt>
                <c:pt idx="4">
                  <c:v>155</c:v>
                </c:pt>
                <c:pt idx="8">
                  <c:v>3162</c:v>
                </c:pt>
              </c:numCache>
            </c:numRef>
          </c:val>
          <c:smooth val="1"/>
          <c:extLst>
            <c:ext xmlns:c16="http://schemas.microsoft.com/office/drawing/2014/chart" uri="{C3380CC4-5D6E-409C-BE32-E72D297353CC}">
              <c16:uniqueId val="{00000000-47BB-45F4-993F-CC8CCAFB1C6A}"/>
            </c:ext>
          </c:extLst>
        </c:ser>
        <c:ser>
          <c:idx val="1"/>
          <c:order val="1"/>
          <c:tx>
            <c:strRef>
              <c:f>Pivot!$P$4:$P$5</c:f>
              <c:strCache>
                <c:ptCount val="1"/>
                <c:pt idx="0">
                  <c:v>Xərc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Pivot!$N$6:$N$14</c:f>
              <c:strCache>
                <c:ptCount val="9"/>
                <c:pt idx="0">
                  <c:v>Yanvar</c:v>
                </c:pt>
                <c:pt idx="1">
                  <c:v>Fevral</c:v>
                </c:pt>
                <c:pt idx="2">
                  <c:v>Mart</c:v>
                </c:pt>
                <c:pt idx="3">
                  <c:v>Aprel</c:v>
                </c:pt>
                <c:pt idx="4">
                  <c:v>may</c:v>
                </c:pt>
                <c:pt idx="5">
                  <c:v>Iyun</c:v>
                </c:pt>
                <c:pt idx="6">
                  <c:v>Iyul</c:v>
                </c:pt>
                <c:pt idx="7">
                  <c:v>Oktyabr</c:v>
                </c:pt>
                <c:pt idx="8">
                  <c:v>Dekabr</c:v>
                </c:pt>
              </c:strCache>
            </c:strRef>
          </c:cat>
          <c:val>
            <c:numRef>
              <c:f>Pivot!$P$6:$P$14</c:f>
              <c:numCache>
                <c:formatCode>General</c:formatCode>
                <c:ptCount val="9"/>
                <c:pt idx="0">
                  <c:v>13</c:v>
                </c:pt>
                <c:pt idx="1">
                  <c:v>5</c:v>
                </c:pt>
                <c:pt idx="2">
                  <c:v>1</c:v>
                </c:pt>
                <c:pt idx="4">
                  <c:v>51</c:v>
                </c:pt>
                <c:pt idx="5">
                  <c:v>44</c:v>
                </c:pt>
                <c:pt idx="6">
                  <c:v>59</c:v>
                </c:pt>
                <c:pt idx="7">
                  <c:v>90</c:v>
                </c:pt>
                <c:pt idx="8">
                  <c:v>15</c:v>
                </c:pt>
              </c:numCache>
            </c:numRef>
          </c:val>
          <c:smooth val="1"/>
          <c:extLst>
            <c:ext xmlns:c16="http://schemas.microsoft.com/office/drawing/2014/chart" uri="{C3380CC4-5D6E-409C-BE32-E72D297353CC}">
              <c16:uniqueId val="{00000001-47BB-45F4-993F-CC8CCAFB1C6A}"/>
            </c:ext>
          </c:extLst>
        </c:ser>
        <c:dLbls>
          <c:showLegendKey val="0"/>
          <c:showVal val="1"/>
          <c:showCatName val="0"/>
          <c:showSerName val="0"/>
          <c:showPercent val="0"/>
          <c:showBubbleSize val="0"/>
        </c:dLbls>
        <c:marker val="1"/>
        <c:smooth val="0"/>
        <c:axId val="1505388064"/>
        <c:axId val="1502289280"/>
      </c:lineChart>
      <c:catAx>
        <c:axId val="150538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Palatino Linotype" panose="02040502050505030304" pitchFamily="18" charset="0"/>
                <a:ea typeface="+mn-ea"/>
                <a:cs typeface="+mn-cs"/>
              </a:defRPr>
            </a:pPr>
            <a:endParaRPr lang="en-US"/>
          </a:p>
        </c:txPr>
        <c:crossAx val="1502289280"/>
        <c:crosses val="autoZero"/>
        <c:auto val="1"/>
        <c:lblAlgn val="ctr"/>
        <c:lblOffset val="100"/>
        <c:noMultiLvlLbl val="0"/>
      </c:catAx>
      <c:valAx>
        <c:axId val="1502289280"/>
        <c:scaling>
          <c:orientation val="minMax"/>
        </c:scaling>
        <c:delete val="1"/>
        <c:axPos val="l"/>
        <c:numFmt formatCode="General" sourceLinked="1"/>
        <c:majorTickMark val="none"/>
        <c:minorTickMark val="none"/>
        <c:tickLblPos val="nextTo"/>
        <c:crossAx val="150538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83B5A"/>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c:name>
    <c:fmtId val="3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z-Latn-AZ" sz="1200" b="1"/>
              <a:t>Maddələr üzrə</a:t>
            </a:r>
            <a:endParaRPr lang="en-US" sz="1200" b="1"/>
          </a:p>
        </c:rich>
      </c:tx>
      <c:layout>
        <c:manualLayout>
          <c:xMode val="edge"/>
          <c:yMode val="edge"/>
          <c:x val="0.371525423728813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Pivot!$AG$5</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Pivot!$AF$6:$AF$17</c:f>
              <c:strCache>
                <c:ptCount val="11"/>
                <c:pt idx="0">
                  <c:v>Bank xidmət haqqı</c:v>
                </c:pt>
                <c:pt idx="1">
                  <c:v>Bələdiyyə</c:v>
                </c:pt>
                <c:pt idx="2">
                  <c:v>Dəftərxana xərcləri</c:v>
                </c:pt>
                <c:pt idx="3">
                  <c:v>ƏDV</c:v>
                </c:pt>
                <c:pt idx="4">
                  <c:v>İnternet</c:v>
                </c:pt>
                <c:pt idx="5">
                  <c:v>İşıq pulu</c:v>
                </c:pt>
                <c:pt idx="6">
                  <c:v>Qaz pulu</c:v>
                </c:pt>
                <c:pt idx="7">
                  <c:v>Sair ödəmələr</c:v>
                </c:pt>
                <c:pt idx="8">
                  <c:v>Su pulu</c:v>
                </c:pt>
                <c:pt idx="9">
                  <c:v>Telefon / rabitə</c:v>
                </c:pt>
                <c:pt idx="10">
                  <c:v>Təsərrüfat xərci</c:v>
                </c:pt>
              </c:strCache>
            </c:strRef>
          </c:cat>
          <c:val>
            <c:numRef>
              <c:f>Pivot!$AG$6:$AG$17</c:f>
              <c:numCache>
                <c:formatCode>General</c:formatCode>
                <c:ptCount val="11"/>
                <c:pt idx="0">
                  <c:v>35</c:v>
                </c:pt>
                <c:pt idx="1">
                  <c:v>44</c:v>
                </c:pt>
                <c:pt idx="2">
                  <c:v>27</c:v>
                </c:pt>
                <c:pt idx="3">
                  <c:v>36</c:v>
                </c:pt>
                <c:pt idx="4">
                  <c:v>5</c:v>
                </c:pt>
                <c:pt idx="5">
                  <c:v>44</c:v>
                </c:pt>
                <c:pt idx="6">
                  <c:v>24</c:v>
                </c:pt>
                <c:pt idx="7">
                  <c:v>28</c:v>
                </c:pt>
                <c:pt idx="8">
                  <c:v>24</c:v>
                </c:pt>
                <c:pt idx="9">
                  <c:v>10</c:v>
                </c:pt>
                <c:pt idx="10">
                  <c:v>1</c:v>
                </c:pt>
              </c:numCache>
            </c:numRef>
          </c:val>
          <c:extLst>
            <c:ext xmlns:c16="http://schemas.microsoft.com/office/drawing/2014/chart" uri="{C3380CC4-5D6E-409C-BE32-E72D297353CC}">
              <c16:uniqueId val="{00000000-2F96-4AB2-ABFE-4087992E0210}"/>
            </c:ext>
          </c:extLst>
        </c:ser>
        <c:dLbls>
          <c:dLblPos val="outEnd"/>
          <c:showLegendKey val="0"/>
          <c:showVal val="1"/>
          <c:showCatName val="0"/>
          <c:showSerName val="0"/>
          <c:showPercent val="0"/>
          <c:showBubbleSize val="0"/>
        </c:dLbls>
        <c:gapWidth val="182"/>
        <c:axId val="214608079"/>
        <c:axId val="268544367"/>
      </c:barChart>
      <c:catAx>
        <c:axId val="214608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8544367"/>
        <c:crosses val="autoZero"/>
        <c:auto val="1"/>
        <c:lblAlgn val="ctr"/>
        <c:lblOffset val="100"/>
        <c:noMultiLvlLbl val="0"/>
      </c:catAx>
      <c:valAx>
        <c:axId val="268544367"/>
        <c:scaling>
          <c:orientation val="minMax"/>
        </c:scaling>
        <c:delete val="1"/>
        <c:axPos val="b"/>
        <c:numFmt formatCode="General" sourceLinked="1"/>
        <c:majorTickMark val="none"/>
        <c:minorTickMark val="none"/>
        <c:tickLblPos val="nextTo"/>
        <c:crossAx val="214608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83B5A"/>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Management.xlsm]Pivot!PivotTable3</c:name>
    <c:fmtId val="3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z-Latn-AZ" sz="1200" b="1"/>
              <a:t>Kateqoriyalar üzrə</a:t>
            </a:r>
            <a:endParaRPr lang="en-US" sz="1200" b="1"/>
          </a:p>
        </c:rich>
      </c:tx>
      <c:layout>
        <c:manualLayout>
          <c:xMode val="edge"/>
          <c:yMode val="edge"/>
          <c:x val="0.1888978993904831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Pivot!$AV$6</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Pivot!$AU$7:$AU$10</c:f>
              <c:strCache>
                <c:ptCount val="3"/>
                <c:pt idx="0">
                  <c:v>Büdcə xərcləri</c:v>
                </c:pt>
                <c:pt idx="1">
                  <c:v>Kommunal</c:v>
                </c:pt>
                <c:pt idx="2">
                  <c:v>Digər xərclər</c:v>
                </c:pt>
              </c:strCache>
            </c:strRef>
          </c:cat>
          <c:val>
            <c:numRef>
              <c:f>Pivot!$AV$7:$AV$10</c:f>
              <c:numCache>
                <c:formatCode>General</c:formatCode>
                <c:ptCount val="3"/>
                <c:pt idx="0">
                  <c:v>36</c:v>
                </c:pt>
                <c:pt idx="1">
                  <c:v>151</c:v>
                </c:pt>
                <c:pt idx="2">
                  <c:v>91</c:v>
                </c:pt>
              </c:numCache>
            </c:numRef>
          </c:val>
          <c:extLst>
            <c:ext xmlns:c16="http://schemas.microsoft.com/office/drawing/2014/chart" uri="{C3380CC4-5D6E-409C-BE32-E72D297353CC}">
              <c16:uniqueId val="{00000000-64CE-4470-9FBA-5BB323B4DFB8}"/>
            </c:ext>
          </c:extLst>
        </c:ser>
        <c:dLbls>
          <c:dLblPos val="outEnd"/>
          <c:showLegendKey val="0"/>
          <c:showVal val="1"/>
          <c:showCatName val="0"/>
          <c:showSerName val="0"/>
          <c:showPercent val="0"/>
          <c:showBubbleSize val="0"/>
        </c:dLbls>
        <c:gapWidth val="219"/>
        <c:overlap val="-27"/>
        <c:axId val="214624399"/>
        <c:axId val="268543871"/>
      </c:barChart>
      <c:catAx>
        <c:axId val="214624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8543871"/>
        <c:crosses val="autoZero"/>
        <c:auto val="1"/>
        <c:lblAlgn val="ctr"/>
        <c:lblOffset val="100"/>
        <c:noMultiLvlLbl val="0"/>
      </c:catAx>
      <c:valAx>
        <c:axId val="268543871"/>
        <c:scaling>
          <c:orientation val="minMax"/>
        </c:scaling>
        <c:delete val="1"/>
        <c:axPos val="l"/>
        <c:numFmt formatCode="General" sourceLinked="1"/>
        <c:majorTickMark val="none"/>
        <c:minorTickMark val="none"/>
        <c:tickLblPos val="nextTo"/>
        <c:crossAx val="214624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83B5A"/>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Management.xlsm]Pivot!PivotTable18</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Pivot!$J$4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87-4123-B71A-EB0C9E80C3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87-4123-B71A-EB0C9E80C37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87-4123-B71A-EB0C9E80C37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703-4E84-80FA-6985C04258D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E6-4C3F-A44F-E4CAC1836353}"/>
              </c:ext>
            </c:extLst>
          </c:dPt>
          <c:cat>
            <c:strRef>
              <c:f>Pivot!$I$5:$I$9</c:f>
              <c:strCache>
                <c:ptCount val="4"/>
                <c:pt idx="0">
                  <c:v>2020</c:v>
                </c:pt>
                <c:pt idx="1">
                  <c:v>2021</c:v>
                </c:pt>
                <c:pt idx="2">
                  <c:v>2022</c:v>
                </c:pt>
                <c:pt idx="3">
                  <c:v>2023</c:v>
                </c:pt>
              </c:strCache>
            </c:strRef>
          </c:cat>
          <c:val>
            <c:numRef>
              <c:f>Pivot!$J$5:$J$9</c:f>
              <c:numCache>
                <c:formatCode>General</c:formatCode>
                <c:ptCount val="4"/>
                <c:pt idx="0">
                  <c:v>1013</c:v>
                </c:pt>
                <c:pt idx="1">
                  <c:v>1286</c:v>
                </c:pt>
                <c:pt idx="2">
                  <c:v>1211</c:v>
                </c:pt>
                <c:pt idx="3">
                  <c:v>4329</c:v>
                </c:pt>
              </c:numCache>
            </c:numRef>
          </c:val>
          <c:extLst>
            <c:ext xmlns:c16="http://schemas.microsoft.com/office/drawing/2014/chart" uri="{C3380CC4-5D6E-409C-BE32-E72D297353CC}">
              <c16:uniqueId val="{00000000-222C-4C48-914D-36CCBE80D82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Management.xlsm]Pivot!PivotTable4</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Pivot!$U$4:$U$5</c:f>
              <c:strCache>
                <c:ptCount val="1"/>
                <c:pt idx="0">
                  <c:v>Gəlir</c:v>
                </c:pt>
              </c:strCache>
            </c:strRef>
          </c:tx>
          <c:spPr>
            <a:solidFill>
              <a:schemeClr val="accent1"/>
            </a:solidFill>
            <a:ln>
              <a:noFill/>
            </a:ln>
            <a:effectLst/>
          </c:spPr>
          <c:invertIfNegative val="0"/>
          <c:cat>
            <c:strRef>
              <c:f>Pivot!$T$6:$T$11</c:f>
              <c:strCache>
                <c:ptCount val="6"/>
                <c:pt idx="0">
                  <c:v>Büdcə xərcləri</c:v>
                </c:pt>
                <c:pt idx="1">
                  <c:v>Daşınma</c:v>
                </c:pt>
                <c:pt idx="2">
                  <c:v>Digər xərclər</c:v>
                </c:pt>
                <c:pt idx="3">
                  <c:v>Xidmət</c:v>
                </c:pt>
                <c:pt idx="4">
                  <c:v>Kommunal</c:v>
                </c:pt>
                <c:pt idx="5">
                  <c:v>Satış</c:v>
                </c:pt>
              </c:strCache>
            </c:strRef>
          </c:cat>
          <c:val>
            <c:numRef>
              <c:f>Pivot!$U$6:$U$11</c:f>
              <c:numCache>
                <c:formatCode>General</c:formatCode>
                <c:ptCount val="6"/>
                <c:pt idx="1">
                  <c:v>576</c:v>
                </c:pt>
                <c:pt idx="3">
                  <c:v>468</c:v>
                </c:pt>
                <c:pt idx="5">
                  <c:v>3007</c:v>
                </c:pt>
              </c:numCache>
            </c:numRef>
          </c:val>
          <c:extLst>
            <c:ext xmlns:c16="http://schemas.microsoft.com/office/drawing/2014/chart" uri="{C3380CC4-5D6E-409C-BE32-E72D297353CC}">
              <c16:uniqueId val="{00000000-3E28-4139-B0B5-9CE591F2BD60}"/>
            </c:ext>
          </c:extLst>
        </c:ser>
        <c:ser>
          <c:idx val="1"/>
          <c:order val="1"/>
          <c:tx>
            <c:strRef>
              <c:f>Pivot!$V$4:$V$5</c:f>
              <c:strCache>
                <c:ptCount val="1"/>
                <c:pt idx="0">
                  <c:v>Xərc</c:v>
                </c:pt>
              </c:strCache>
            </c:strRef>
          </c:tx>
          <c:spPr>
            <a:solidFill>
              <a:schemeClr val="accent2"/>
            </a:solidFill>
            <a:ln>
              <a:noFill/>
            </a:ln>
            <a:effectLst/>
          </c:spPr>
          <c:invertIfNegative val="0"/>
          <c:cat>
            <c:strRef>
              <c:f>Pivot!$T$6:$T$11</c:f>
              <c:strCache>
                <c:ptCount val="6"/>
                <c:pt idx="0">
                  <c:v>Büdcə xərcləri</c:v>
                </c:pt>
                <c:pt idx="1">
                  <c:v>Daşınma</c:v>
                </c:pt>
                <c:pt idx="2">
                  <c:v>Digər xərclər</c:v>
                </c:pt>
                <c:pt idx="3">
                  <c:v>Xidmət</c:v>
                </c:pt>
                <c:pt idx="4">
                  <c:v>Kommunal</c:v>
                </c:pt>
                <c:pt idx="5">
                  <c:v>Satış</c:v>
                </c:pt>
              </c:strCache>
            </c:strRef>
          </c:cat>
          <c:val>
            <c:numRef>
              <c:f>Pivot!$V$6:$V$11</c:f>
              <c:numCache>
                <c:formatCode>General</c:formatCode>
                <c:ptCount val="6"/>
                <c:pt idx="0">
                  <c:v>36</c:v>
                </c:pt>
                <c:pt idx="2">
                  <c:v>91</c:v>
                </c:pt>
                <c:pt idx="4">
                  <c:v>151</c:v>
                </c:pt>
              </c:numCache>
            </c:numRef>
          </c:val>
          <c:extLst>
            <c:ext xmlns:c16="http://schemas.microsoft.com/office/drawing/2014/chart" uri="{C3380CC4-5D6E-409C-BE32-E72D297353CC}">
              <c16:uniqueId val="{00000002-3E28-4139-B0B5-9CE591F2BD60}"/>
            </c:ext>
          </c:extLst>
        </c:ser>
        <c:dLbls>
          <c:showLegendKey val="0"/>
          <c:showVal val="0"/>
          <c:showCatName val="0"/>
          <c:showSerName val="0"/>
          <c:showPercent val="0"/>
          <c:showBubbleSize val="0"/>
        </c:dLbls>
        <c:gapWidth val="182"/>
        <c:axId val="254457296"/>
        <c:axId val="562953008"/>
      </c:barChart>
      <c:catAx>
        <c:axId val="25445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53008"/>
        <c:crosses val="autoZero"/>
        <c:auto val="1"/>
        <c:lblAlgn val="ctr"/>
        <c:lblOffset val="100"/>
        <c:noMultiLvlLbl val="0"/>
      </c:catAx>
      <c:valAx>
        <c:axId val="562953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5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Management.xlsm]Pivot!PivotTable6</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Pivot!$AA$4:$AA$5</c:f>
              <c:strCache>
                <c:ptCount val="1"/>
                <c:pt idx="0">
                  <c:v>Gəlir</c:v>
                </c:pt>
              </c:strCache>
            </c:strRef>
          </c:tx>
          <c:spPr>
            <a:solidFill>
              <a:schemeClr val="accent1"/>
            </a:solidFill>
            <a:ln>
              <a:noFill/>
            </a:ln>
            <a:effectLst/>
          </c:spPr>
          <c:invertIfNegative val="0"/>
          <c:cat>
            <c:strRef>
              <c:f>Pivot!$Z$6:$Z$20</c:f>
              <c:strCache>
                <c:ptCount val="15"/>
                <c:pt idx="0">
                  <c:v>Təsərrüfat xərci</c:v>
                </c:pt>
                <c:pt idx="1">
                  <c:v>Qida</c:v>
                </c:pt>
                <c:pt idx="2">
                  <c:v>Qaz pulu</c:v>
                </c:pt>
                <c:pt idx="3">
                  <c:v>İşıq pulu</c:v>
                </c:pt>
                <c:pt idx="4">
                  <c:v>Su pulu</c:v>
                </c:pt>
                <c:pt idx="5">
                  <c:v>Xidmət</c:v>
                </c:pt>
                <c:pt idx="6">
                  <c:v>Bələdiyyə</c:v>
                </c:pt>
                <c:pt idx="7">
                  <c:v>Telefon / rabitə</c:v>
                </c:pt>
                <c:pt idx="8">
                  <c:v>İnternet</c:v>
                </c:pt>
                <c:pt idx="9">
                  <c:v>Sair ödəmələr</c:v>
                </c:pt>
                <c:pt idx="10">
                  <c:v>Dəftərxana xərcləri</c:v>
                </c:pt>
                <c:pt idx="11">
                  <c:v>Wolt</c:v>
                </c:pt>
                <c:pt idx="12">
                  <c:v>ƏDV</c:v>
                </c:pt>
                <c:pt idx="13">
                  <c:v>Bank xidmət haqqı</c:v>
                </c:pt>
                <c:pt idx="14">
                  <c:v>Bolt</c:v>
                </c:pt>
              </c:strCache>
            </c:strRef>
          </c:cat>
          <c:val>
            <c:numRef>
              <c:f>Pivot!$AA$6:$AA$20</c:f>
              <c:numCache>
                <c:formatCode>General</c:formatCode>
                <c:ptCount val="15"/>
                <c:pt idx="1">
                  <c:v>3007</c:v>
                </c:pt>
                <c:pt idx="5">
                  <c:v>468</c:v>
                </c:pt>
                <c:pt idx="11">
                  <c:v>491</c:v>
                </c:pt>
                <c:pt idx="14">
                  <c:v>85</c:v>
                </c:pt>
              </c:numCache>
            </c:numRef>
          </c:val>
          <c:extLst>
            <c:ext xmlns:c16="http://schemas.microsoft.com/office/drawing/2014/chart" uri="{C3380CC4-5D6E-409C-BE32-E72D297353CC}">
              <c16:uniqueId val="{00000000-3DD0-46B8-A03F-D2E2D207E65D}"/>
            </c:ext>
          </c:extLst>
        </c:ser>
        <c:ser>
          <c:idx val="1"/>
          <c:order val="1"/>
          <c:tx>
            <c:strRef>
              <c:f>Pivot!$AB$4:$AB$5</c:f>
              <c:strCache>
                <c:ptCount val="1"/>
                <c:pt idx="0">
                  <c:v>Xərc</c:v>
                </c:pt>
              </c:strCache>
            </c:strRef>
          </c:tx>
          <c:spPr>
            <a:solidFill>
              <a:schemeClr val="accent2"/>
            </a:solidFill>
            <a:ln>
              <a:noFill/>
            </a:ln>
            <a:effectLst/>
          </c:spPr>
          <c:invertIfNegative val="0"/>
          <c:cat>
            <c:strRef>
              <c:f>Pivot!$Z$6:$Z$20</c:f>
              <c:strCache>
                <c:ptCount val="15"/>
                <c:pt idx="0">
                  <c:v>Təsərrüfat xərci</c:v>
                </c:pt>
                <c:pt idx="1">
                  <c:v>Qida</c:v>
                </c:pt>
                <c:pt idx="2">
                  <c:v>Qaz pulu</c:v>
                </c:pt>
                <c:pt idx="3">
                  <c:v>İşıq pulu</c:v>
                </c:pt>
                <c:pt idx="4">
                  <c:v>Su pulu</c:v>
                </c:pt>
                <c:pt idx="5">
                  <c:v>Xidmət</c:v>
                </c:pt>
                <c:pt idx="6">
                  <c:v>Bələdiyyə</c:v>
                </c:pt>
                <c:pt idx="7">
                  <c:v>Telefon / rabitə</c:v>
                </c:pt>
                <c:pt idx="8">
                  <c:v>İnternet</c:v>
                </c:pt>
                <c:pt idx="9">
                  <c:v>Sair ödəmələr</c:v>
                </c:pt>
                <c:pt idx="10">
                  <c:v>Dəftərxana xərcləri</c:v>
                </c:pt>
                <c:pt idx="11">
                  <c:v>Wolt</c:v>
                </c:pt>
                <c:pt idx="12">
                  <c:v>ƏDV</c:v>
                </c:pt>
                <c:pt idx="13">
                  <c:v>Bank xidmət haqqı</c:v>
                </c:pt>
                <c:pt idx="14">
                  <c:v>Bolt</c:v>
                </c:pt>
              </c:strCache>
            </c:strRef>
          </c:cat>
          <c:val>
            <c:numRef>
              <c:f>Pivot!$AB$6:$AB$20</c:f>
              <c:numCache>
                <c:formatCode>General</c:formatCode>
                <c:ptCount val="15"/>
                <c:pt idx="0">
                  <c:v>1</c:v>
                </c:pt>
                <c:pt idx="2">
                  <c:v>24</c:v>
                </c:pt>
                <c:pt idx="3">
                  <c:v>44</c:v>
                </c:pt>
                <c:pt idx="4">
                  <c:v>24</c:v>
                </c:pt>
                <c:pt idx="6">
                  <c:v>44</c:v>
                </c:pt>
                <c:pt idx="7">
                  <c:v>10</c:v>
                </c:pt>
                <c:pt idx="8">
                  <c:v>5</c:v>
                </c:pt>
                <c:pt idx="9">
                  <c:v>28</c:v>
                </c:pt>
                <c:pt idx="10">
                  <c:v>27</c:v>
                </c:pt>
                <c:pt idx="12">
                  <c:v>36</c:v>
                </c:pt>
                <c:pt idx="13">
                  <c:v>35</c:v>
                </c:pt>
              </c:numCache>
            </c:numRef>
          </c:val>
          <c:extLst>
            <c:ext xmlns:c16="http://schemas.microsoft.com/office/drawing/2014/chart" uri="{C3380CC4-5D6E-409C-BE32-E72D297353CC}">
              <c16:uniqueId val="{00000001-3DD0-46B8-A03F-D2E2D207E65D}"/>
            </c:ext>
          </c:extLst>
        </c:ser>
        <c:dLbls>
          <c:showLegendKey val="0"/>
          <c:showVal val="0"/>
          <c:showCatName val="0"/>
          <c:showSerName val="0"/>
          <c:showPercent val="0"/>
          <c:showBubbleSize val="0"/>
        </c:dLbls>
        <c:gapWidth val="182"/>
        <c:axId val="563031424"/>
        <c:axId val="1496327856"/>
      </c:barChart>
      <c:catAx>
        <c:axId val="563031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327856"/>
        <c:crosses val="autoZero"/>
        <c:auto val="1"/>
        <c:lblAlgn val="ctr"/>
        <c:lblOffset val="100"/>
        <c:noMultiLvlLbl val="0"/>
      </c:catAx>
      <c:valAx>
        <c:axId val="1496327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0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Management.xlsm]Pivot!PivotTable11</c:name>
    <c:fmtId val="2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98-45E8-B3E6-4AFB6C351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98-45E8-B3E6-4AFB6C3511CC}"/>
              </c:ext>
            </c:extLst>
          </c:dPt>
          <c:cat>
            <c:strRef>
              <c:f>Pivot!$A$5:$A$7</c:f>
              <c:strCache>
                <c:ptCount val="2"/>
                <c:pt idx="0">
                  <c:v>Gəlir</c:v>
                </c:pt>
                <c:pt idx="1">
                  <c:v>Xərc</c:v>
                </c:pt>
              </c:strCache>
            </c:strRef>
          </c:cat>
          <c:val>
            <c:numRef>
              <c:f>Pivot!$B$5:$B$7</c:f>
              <c:numCache>
                <c:formatCode>General</c:formatCode>
                <c:ptCount val="2"/>
                <c:pt idx="0">
                  <c:v>4051</c:v>
                </c:pt>
                <c:pt idx="1">
                  <c:v>278</c:v>
                </c:pt>
              </c:numCache>
            </c:numRef>
          </c:val>
          <c:extLst>
            <c:ext xmlns:c16="http://schemas.microsoft.com/office/drawing/2014/chart" uri="{C3380CC4-5D6E-409C-BE32-E72D297353CC}">
              <c16:uniqueId val="{00000000-52FB-4A4D-8998-8606789ECBA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Management.xlsm]Pivot!PivotTable2</c:name>
    <c:fmtId val="3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Pivot!$O$4:$O$5</c:f>
              <c:strCache>
                <c:ptCount val="1"/>
                <c:pt idx="0">
                  <c:v>Gəlir</c:v>
                </c:pt>
              </c:strCache>
            </c:strRef>
          </c:tx>
          <c:spPr>
            <a:solidFill>
              <a:schemeClr val="accent1"/>
            </a:solidFill>
            <a:ln>
              <a:noFill/>
            </a:ln>
            <a:effectLst/>
          </c:spPr>
          <c:invertIfNegative val="0"/>
          <c:cat>
            <c:strRef>
              <c:f>Pivot!$N$6:$N$14</c:f>
              <c:strCache>
                <c:ptCount val="9"/>
                <c:pt idx="0">
                  <c:v>Yanvar</c:v>
                </c:pt>
                <c:pt idx="1">
                  <c:v>Fevral</c:v>
                </c:pt>
                <c:pt idx="2">
                  <c:v>Mart</c:v>
                </c:pt>
                <c:pt idx="3">
                  <c:v>Aprel</c:v>
                </c:pt>
                <c:pt idx="4">
                  <c:v>may</c:v>
                </c:pt>
                <c:pt idx="5">
                  <c:v>Iyun</c:v>
                </c:pt>
                <c:pt idx="6">
                  <c:v>Iyul</c:v>
                </c:pt>
                <c:pt idx="7">
                  <c:v>Oktyabr</c:v>
                </c:pt>
                <c:pt idx="8">
                  <c:v>Dekabr</c:v>
                </c:pt>
              </c:strCache>
            </c:strRef>
          </c:cat>
          <c:val>
            <c:numRef>
              <c:f>Pivot!$O$6:$O$14</c:f>
              <c:numCache>
                <c:formatCode>General</c:formatCode>
                <c:ptCount val="9"/>
                <c:pt idx="0">
                  <c:v>306</c:v>
                </c:pt>
                <c:pt idx="1">
                  <c:v>7</c:v>
                </c:pt>
                <c:pt idx="2">
                  <c:v>85</c:v>
                </c:pt>
                <c:pt idx="3">
                  <c:v>336</c:v>
                </c:pt>
                <c:pt idx="4">
                  <c:v>155</c:v>
                </c:pt>
                <c:pt idx="8">
                  <c:v>3162</c:v>
                </c:pt>
              </c:numCache>
            </c:numRef>
          </c:val>
          <c:extLst>
            <c:ext xmlns:c16="http://schemas.microsoft.com/office/drawing/2014/chart" uri="{C3380CC4-5D6E-409C-BE32-E72D297353CC}">
              <c16:uniqueId val="{00000000-63BA-4313-985D-AD44E1471243}"/>
            </c:ext>
          </c:extLst>
        </c:ser>
        <c:ser>
          <c:idx val="1"/>
          <c:order val="1"/>
          <c:tx>
            <c:strRef>
              <c:f>Pivot!$P$4:$P$5</c:f>
              <c:strCache>
                <c:ptCount val="1"/>
                <c:pt idx="0">
                  <c:v>Xərc</c:v>
                </c:pt>
              </c:strCache>
            </c:strRef>
          </c:tx>
          <c:spPr>
            <a:solidFill>
              <a:schemeClr val="accent2"/>
            </a:solidFill>
            <a:ln>
              <a:noFill/>
            </a:ln>
            <a:effectLst/>
          </c:spPr>
          <c:invertIfNegative val="0"/>
          <c:cat>
            <c:strRef>
              <c:f>Pivot!$N$6:$N$14</c:f>
              <c:strCache>
                <c:ptCount val="9"/>
                <c:pt idx="0">
                  <c:v>Yanvar</c:v>
                </c:pt>
                <c:pt idx="1">
                  <c:v>Fevral</c:v>
                </c:pt>
                <c:pt idx="2">
                  <c:v>Mart</c:v>
                </c:pt>
                <c:pt idx="3">
                  <c:v>Aprel</c:v>
                </c:pt>
                <c:pt idx="4">
                  <c:v>may</c:v>
                </c:pt>
                <c:pt idx="5">
                  <c:v>Iyun</c:v>
                </c:pt>
                <c:pt idx="6">
                  <c:v>Iyul</c:v>
                </c:pt>
                <c:pt idx="7">
                  <c:v>Oktyabr</c:v>
                </c:pt>
                <c:pt idx="8">
                  <c:v>Dekabr</c:v>
                </c:pt>
              </c:strCache>
            </c:strRef>
          </c:cat>
          <c:val>
            <c:numRef>
              <c:f>Pivot!$P$6:$P$14</c:f>
              <c:numCache>
                <c:formatCode>General</c:formatCode>
                <c:ptCount val="9"/>
                <c:pt idx="0">
                  <c:v>13</c:v>
                </c:pt>
                <c:pt idx="1">
                  <c:v>5</c:v>
                </c:pt>
                <c:pt idx="2">
                  <c:v>1</c:v>
                </c:pt>
                <c:pt idx="4">
                  <c:v>51</c:v>
                </c:pt>
                <c:pt idx="5">
                  <c:v>44</c:v>
                </c:pt>
                <c:pt idx="6">
                  <c:v>59</c:v>
                </c:pt>
                <c:pt idx="7">
                  <c:v>90</c:v>
                </c:pt>
                <c:pt idx="8">
                  <c:v>15</c:v>
                </c:pt>
              </c:numCache>
            </c:numRef>
          </c:val>
          <c:extLst>
            <c:ext xmlns:c16="http://schemas.microsoft.com/office/drawing/2014/chart" uri="{C3380CC4-5D6E-409C-BE32-E72D297353CC}">
              <c16:uniqueId val="{00000001-63BA-4313-985D-AD44E1471243}"/>
            </c:ext>
          </c:extLst>
        </c:ser>
        <c:dLbls>
          <c:showLegendKey val="0"/>
          <c:showVal val="0"/>
          <c:showCatName val="0"/>
          <c:showSerName val="0"/>
          <c:showPercent val="0"/>
          <c:showBubbleSize val="0"/>
        </c:dLbls>
        <c:gapWidth val="150"/>
        <c:overlap val="100"/>
        <c:axId val="1505388064"/>
        <c:axId val="1502289280"/>
      </c:barChart>
      <c:catAx>
        <c:axId val="150538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289280"/>
        <c:crosses val="autoZero"/>
        <c:auto val="1"/>
        <c:lblAlgn val="ctr"/>
        <c:lblOffset val="100"/>
        <c:noMultiLvlLbl val="0"/>
      </c:catAx>
      <c:valAx>
        <c:axId val="150228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38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Management.xlsm]Pivot!PivotTable1</c:name>
    <c:fmtId val="2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Pivot!$AG$5</c:f>
              <c:strCache>
                <c:ptCount val="1"/>
                <c:pt idx="0">
                  <c:v>Total</c:v>
                </c:pt>
              </c:strCache>
            </c:strRef>
          </c:tx>
          <c:spPr>
            <a:solidFill>
              <a:schemeClr val="accent1"/>
            </a:solidFill>
            <a:ln>
              <a:noFill/>
            </a:ln>
            <a:effectLst/>
          </c:spPr>
          <c:invertIfNegative val="0"/>
          <c:cat>
            <c:strRef>
              <c:f>Pivot!$AF$6:$AF$17</c:f>
              <c:strCache>
                <c:ptCount val="11"/>
                <c:pt idx="0">
                  <c:v>Bank xidmət haqqı</c:v>
                </c:pt>
                <c:pt idx="1">
                  <c:v>Bələdiyyə</c:v>
                </c:pt>
                <c:pt idx="2">
                  <c:v>Dəftərxana xərcləri</c:v>
                </c:pt>
                <c:pt idx="3">
                  <c:v>ƏDV</c:v>
                </c:pt>
                <c:pt idx="4">
                  <c:v>İnternet</c:v>
                </c:pt>
                <c:pt idx="5">
                  <c:v>İşıq pulu</c:v>
                </c:pt>
                <c:pt idx="6">
                  <c:v>Qaz pulu</c:v>
                </c:pt>
                <c:pt idx="7">
                  <c:v>Sair ödəmələr</c:v>
                </c:pt>
                <c:pt idx="8">
                  <c:v>Su pulu</c:v>
                </c:pt>
                <c:pt idx="9">
                  <c:v>Telefon / rabitə</c:v>
                </c:pt>
                <c:pt idx="10">
                  <c:v>Təsərrüfat xərci</c:v>
                </c:pt>
              </c:strCache>
            </c:strRef>
          </c:cat>
          <c:val>
            <c:numRef>
              <c:f>Pivot!$AG$6:$AG$17</c:f>
              <c:numCache>
                <c:formatCode>General</c:formatCode>
                <c:ptCount val="11"/>
                <c:pt idx="0">
                  <c:v>35</c:v>
                </c:pt>
                <c:pt idx="1">
                  <c:v>44</c:v>
                </c:pt>
                <c:pt idx="2">
                  <c:v>27</c:v>
                </c:pt>
                <c:pt idx="3">
                  <c:v>36</c:v>
                </c:pt>
                <c:pt idx="4">
                  <c:v>5</c:v>
                </c:pt>
                <c:pt idx="5">
                  <c:v>44</c:v>
                </c:pt>
                <c:pt idx="6">
                  <c:v>24</c:v>
                </c:pt>
                <c:pt idx="7">
                  <c:v>28</c:v>
                </c:pt>
                <c:pt idx="8">
                  <c:v>24</c:v>
                </c:pt>
                <c:pt idx="9">
                  <c:v>10</c:v>
                </c:pt>
                <c:pt idx="10">
                  <c:v>1</c:v>
                </c:pt>
              </c:numCache>
            </c:numRef>
          </c:val>
          <c:extLst>
            <c:ext xmlns:c16="http://schemas.microsoft.com/office/drawing/2014/chart" uri="{C3380CC4-5D6E-409C-BE32-E72D297353CC}">
              <c16:uniqueId val="{00000000-FE1D-4CD1-AD1F-F1202B131CBA}"/>
            </c:ext>
          </c:extLst>
        </c:ser>
        <c:dLbls>
          <c:showLegendKey val="0"/>
          <c:showVal val="0"/>
          <c:showCatName val="0"/>
          <c:showSerName val="0"/>
          <c:showPercent val="0"/>
          <c:showBubbleSize val="0"/>
        </c:dLbls>
        <c:gapWidth val="182"/>
        <c:axId val="214608079"/>
        <c:axId val="268544367"/>
      </c:barChart>
      <c:catAx>
        <c:axId val="214608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544367"/>
        <c:crosses val="autoZero"/>
        <c:auto val="1"/>
        <c:lblAlgn val="ctr"/>
        <c:lblOffset val="100"/>
        <c:noMultiLvlLbl val="0"/>
      </c:catAx>
      <c:valAx>
        <c:axId val="268544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08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Management.xlsm]Pivot!PivotTable3</c:name>
    <c:fmtId val="3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Pivot!$AV$6</c:f>
              <c:strCache>
                <c:ptCount val="1"/>
                <c:pt idx="0">
                  <c:v>Total</c:v>
                </c:pt>
              </c:strCache>
            </c:strRef>
          </c:tx>
          <c:spPr>
            <a:solidFill>
              <a:schemeClr val="accent1"/>
            </a:solidFill>
            <a:ln>
              <a:noFill/>
            </a:ln>
            <a:effectLst/>
          </c:spPr>
          <c:invertIfNegative val="0"/>
          <c:cat>
            <c:strRef>
              <c:f>Pivot!$AU$7:$AU$10</c:f>
              <c:strCache>
                <c:ptCount val="3"/>
                <c:pt idx="0">
                  <c:v>Büdcə xərcləri</c:v>
                </c:pt>
                <c:pt idx="1">
                  <c:v>Kommunal</c:v>
                </c:pt>
                <c:pt idx="2">
                  <c:v>Digər xərclər</c:v>
                </c:pt>
              </c:strCache>
            </c:strRef>
          </c:cat>
          <c:val>
            <c:numRef>
              <c:f>Pivot!$AV$7:$AV$10</c:f>
              <c:numCache>
                <c:formatCode>General</c:formatCode>
                <c:ptCount val="3"/>
                <c:pt idx="0">
                  <c:v>36</c:v>
                </c:pt>
                <c:pt idx="1">
                  <c:v>151</c:v>
                </c:pt>
                <c:pt idx="2">
                  <c:v>91</c:v>
                </c:pt>
              </c:numCache>
            </c:numRef>
          </c:val>
          <c:extLst>
            <c:ext xmlns:c16="http://schemas.microsoft.com/office/drawing/2014/chart" uri="{C3380CC4-5D6E-409C-BE32-E72D297353CC}">
              <c16:uniqueId val="{00000000-5184-4D8F-AD3A-0ECC476D20B5}"/>
            </c:ext>
          </c:extLst>
        </c:ser>
        <c:dLbls>
          <c:showLegendKey val="0"/>
          <c:showVal val="0"/>
          <c:showCatName val="0"/>
          <c:showSerName val="0"/>
          <c:showPercent val="0"/>
          <c:showBubbleSize val="0"/>
        </c:dLbls>
        <c:gapWidth val="219"/>
        <c:overlap val="-27"/>
        <c:axId val="214624399"/>
        <c:axId val="268543871"/>
      </c:barChart>
      <c:catAx>
        <c:axId val="214624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543871"/>
        <c:crosses val="autoZero"/>
        <c:auto val="1"/>
        <c:lblAlgn val="ctr"/>
        <c:lblOffset val="100"/>
        <c:noMultiLvlLbl val="0"/>
      </c:catAx>
      <c:valAx>
        <c:axId val="268543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24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1</xdr:col>
      <xdr:colOff>60960</xdr:colOff>
      <xdr:row>8</xdr:row>
      <xdr:rowOff>53340</xdr:rowOff>
    </xdr:from>
    <xdr:to>
      <xdr:col>4</xdr:col>
      <xdr:colOff>533400</xdr:colOff>
      <xdr:row>19</xdr:row>
      <xdr:rowOff>148590</xdr:rowOff>
    </xdr:to>
    <xdr:graphicFrame macro="">
      <xdr:nvGraphicFramePr>
        <xdr:cNvPr id="20" name="Chart 19">
          <a:extLst>
            <a:ext uri="{FF2B5EF4-FFF2-40B4-BE49-F238E27FC236}">
              <a16:creationId xmlns:a16="http://schemas.microsoft.com/office/drawing/2014/main" id="{F30375E9-3922-465B-AF70-63CB65842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304800</xdr:colOff>
      <xdr:row>0</xdr:row>
      <xdr:rowOff>0</xdr:rowOff>
    </xdr:from>
    <xdr:to>
      <xdr:col>16</xdr:col>
      <xdr:colOff>266700</xdr:colOff>
      <xdr:row>3</xdr:row>
      <xdr:rowOff>15240</xdr:rowOff>
    </xdr:to>
    <xdr:sp macro="" textlink="">
      <xdr:nvSpPr>
        <xdr:cNvPr id="5" name="TextBox 4">
          <a:extLst>
            <a:ext uri="{FF2B5EF4-FFF2-40B4-BE49-F238E27FC236}">
              <a16:creationId xmlns:a16="http://schemas.microsoft.com/office/drawing/2014/main" id="{109C9825-3A1E-81C4-EDB8-0A407726FEEF}"/>
            </a:ext>
          </a:extLst>
        </xdr:cNvPr>
        <xdr:cNvSpPr txBox="1"/>
      </xdr:nvSpPr>
      <xdr:spPr>
        <a:xfrm>
          <a:off x="4572000" y="0"/>
          <a:ext cx="5448300" cy="563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az-Latn-AZ" sz="3200" b="1">
              <a:latin typeface="Aptos Black" panose="020F0502020204030204" pitchFamily="34" charset="0"/>
            </a:rPr>
            <a:t>Büdcənin</a:t>
          </a:r>
          <a:r>
            <a:rPr lang="az-Latn-AZ" sz="3200" b="1" baseline="0">
              <a:latin typeface="Aptos Black" panose="020F0502020204030204" pitchFamily="34" charset="0"/>
            </a:rPr>
            <a:t> İdarə Edilməsi</a:t>
          </a:r>
          <a:endParaRPr lang="az-Latn-AZ" sz="3200" b="1">
            <a:latin typeface="Aptos Black" panose="020F0502020204030204" pitchFamily="34" charset="0"/>
          </a:endParaRPr>
        </a:p>
      </xdr:txBody>
    </xdr:sp>
    <xdr:clientData/>
  </xdr:twoCellAnchor>
  <xdr:twoCellAnchor editAs="absolute">
    <xdr:from>
      <xdr:col>9</xdr:col>
      <xdr:colOff>7620</xdr:colOff>
      <xdr:row>4</xdr:row>
      <xdr:rowOff>19050</xdr:rowOff>
    </xdr:from>
    <xdr:to>
      <xdr:col>10</xdr:col>
      <xdr:colOff>594360</xdr:colOff>
      <xdr:row>6</xdr:row>
      <xdr:rowOff>19050</xdr:rowOff>
    </xdr:to>
    <xdr:sp macro="[0]!Rectangle5_Click" textlink="">
      <xdr:nvSpPr>
        <xdr:cNvPr id="6" name="Rectangle 5">
          <a:extLst>
            <a:ext uri="{FF2B5EF4-FFF2-40B4-BE49-F238E27FC236}">
              <a16:creationId xmlns:a16="http://schemas.microsoft.com/office/drawing/2014/main" id="{9DCA00EE-D76C-BAF7-4622-47BAC53A44B2}"/>
            </a:ext>
          </a:extLst>
        </xdr:cNvPr>
        <xdr:cNvSpPr/>
      </xdr:nvSpPr>
      <xdr:spPr>
        <a:xfrm>
          <a:off x="5494020" y="750570"/>
          <a:ext cx="1196340" cy="3657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z-Latn-AZ" sz="1100" b="1">
              <a:solidFill>
                <a:srgbClr val="F9C256"/>
              </a:solidFill>
              <a:latin typeface="Palatino Linotype" panose="02040502050505030304" pitchFamily="18" charset="0"/>
            </a:rPr>
            <a:t>Yeni Qeyd</a:t>
          </a:r>
        </a:p>
      </xdr:txBody>
    </xdr:sp>
    <xdr:clientData/>
  </xdr:twoCellAnchor>
  <xdr:twoCellAnchor editAs="absolute">
    <xdr:from>
      <xdr:col>11</xdr:col>
      <xdr:colOff>3810</xdr:colOff>
      <xdr:row>4</xdr:row>
      <xdr:rowOff>19050</xdr:rowOff>
    </xdr:from>
    <xdr:to>
      <xdr:col>12</xdr:col>
      <xdr:colOff>590550</xdr:colOff>
      <xdr:row>6</xdr:row>
      <xdr:rowOff>19050</xdr:rowOff>
    </xdr:to>
    <xdr:sp macro="[0]!Rectangle7_Click" textlink="">
      <xdr:nvSpPr>
        <xdr:cNvPr id="8" name="Rectangle 7">
          <a:extLst>
            <a:ext uri="{FF2B5EF4-FFF2-40B4-BE49-F238E27FC236}">
              <a16:creationId xmlns:a16="http://schemas.microsoft.com/office/drawing/2014/main" id="{19A1EA6D-BBDE-49B3-A7F5-6FA7F58B6156}"/>
            </a:ext>
          </a:extLst>
        </xdr:cNvPr>
        <xdr:cNvSpPr/>
      </xdr:nvSpPr>
      <xdr:spPr>
        <a:xfrm>
          <a:off x="6709410" y="750570"/>
          <a:ext cx="1196340" cy="3657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z-Latn-AZ" sz="1100" b="1">
              <a:solidFill>
                <a:srgbClr val="F9C256"/>
              </a:solidFill>
              <a:latin typeface="Palatino Linotype" panose="02040502050505030304" pitchFamily="18" charset="0"/>
            </a:rPr>
            <a:t>Qeydə Düzəliş</a:t>
          </a:r>
        </a:p>
      </xdr:txBody>
    </xdr:sp>
    <xdr:clientData/>
  </xdr:twoCellAnchor>
  <xdr:twoCellAnchor editAs="absolute">
    <xdr:from>
      <xdr:col>13</xdr:col>
      <xdr:colOff>0</xdr:colOff>
      <xdr:row>4</xdr:row>
      <xdr:rowOff>19050</xdr:rowOff>
    </xdr:from>
    <xdr:to>
      <xdr:col>14</xdr:col>
      <xdr:colOff>586740</xdr:colOff>
      <xdr:row>6</xdr:row>
      <xdr:rowOff>19050</xdr:rowOff>
    </xdr:to>
    <xdr:sp macro="[0]!Rectangle8_Click" textlink="">
      <xdr:nvSpPr>
        <xdr:cNvPr id="9" name="Rectangle 8">
          <a:extLst>
            <a:ext uri="{FF2B5EF4-FFF2-40B4-BE49-F238E27FC236}">
              <a16:creationId xmlns:a16="http://schemas.microsoft.com/office/drawing/2014/main" id="{2760DBD5-2299-486E-B941-F1EA00862CE7}"/>
            </a:ext>
          </a:extLst>
        </xdr:cNvPr>
        <xdr:cNvSpPr/>
      </xdr:nvSpPr>
      <xdr:spPr>
        <a:xfrm>
          <a:off x="7924800" y="750570"/>
          <a:ext cx="1196340" cy="3657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z-Latn-AZ" sz="1100" b="1">
              <a:solidFill>
                <a:srgbClr val="F9C256"/>
              </a:solidFill>
              <a:latin typeface="Palatino Linotype" panose="02040502050505030304" pitchFamily="18" charset="0"/>
            </a:rPr>
            <a:t>Qeydi Sil</a:t>
          </a:r>
        </a:p>
      </xdr:txBody>
    </xdr:sp>
    <xdr:clientData/>
  </xdr:twoCellAnchor>
  <xdr:twoCellAnchor editAs="absolute">
    <xdr:from>
      <xdr:col>1</xdr:col>
      <xdr:colOff>198120</xdr:colOff>
      <xdr:row>6</xdr:row>
      <xdr:rowOff>71704</xdr:rowOff>
    </xdr:from>
    <xdr:to>
      <xdr:col>4</xdr:col>
      <xdr:colOff>434340</xdr:colOff>
      <xdr:row>8</xdr:row>
      <xdr:rowOff>40459</xdr:rowOff>
    </xdr:to>
    <xdr:sp macro="" textlink="">
      <xdr:nvSpPr>
        <xdr:cNvPr id="10" name="TextBox 9">
          <a:extLst>
            <a:ext uri="{FF2B5EF4-FFF2-40B4-BE49-F238E27FC236}">
              <a16:creationId xmlns:a16="http://schemas.microsoft.com/office/drawing/2014/main" id="{5B552386-079A-5137-4113-0AFAEFE81110}"/>
            </a:ext>
          </a:extLst>
        </xdr:cNvPr>
        <xdr:cNvSpPr txBox="1"/>
      </xdr:nvSpPr>
      <xdr:spPr>
        <a:xfrm>
          <a:off x="807720" y="1168984"/>
          <a:ext cx="206502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G</a:t>
          </a:r>
          <a:r>
            <a:rPr lang="az-Latn-AZ" sz="1400">
              <a:solidFill>
                <a:schemeClr val="bg1"/>
              </a:solidFill>
              <a:latin typeface="Palatino Linotype" panose="02040502050505030304" pitchFamily="18" charset="0"/>
            </a:rPr>
            <a:t>əlir</a:t>
          </a:r>
          <a:r>
            <a:rPr lang="az-Latn-AZ" sz="1400" baseline="0">
              <a:solidFill>
                <a:schemeClr val="bg1"/>
              </a:solidFill>
              <a:latin typeface="Palatino Linotype" panose="02040502050505030304" pitchFamily="18" charset="0"/>
            </a:rPr>
            <a:t> və Xərc</a:t>
          </a:r>
          <a:endParaRPr lang="az-Latn-AZ" sz="1400">
            <a:solidFill>
              <a:schemeClr val="bg1"/>
            </a:solidFill>
            <a:latin typeface="Palatino Linotype" panose="02040502050505030304" pitchFamily="18" charset="0"/>
          </a:endParaRPr>
        </a:p>
      </xdr:txBody>
    </xdr:sp>
    <xdr:clientData/>
  </xdr:twoCellAnchor>
  <xdr:twoCellAnchor editAs="absolute">
    <xdr:from>
      <xdr:col>1</xdr:col>
      <xdr:colOff>579120</xdr:colOff>
      <xdr:row>13</xdr:row>
      <xdr:rowOff>0</xdr:rowOff>
    </xdr:from>
    <xdr:to>
      <xdr:col>4</xdr:col>
      <xdr:colOff>22860</xdr:colOff>
      <xdr:row>15</xdr:row>
      <xdr:rowOff>91440</xdr:rowOff>
    </xdr:to>
    <xdr:sp macro="" textlink="Pivot!E6">
      <xdr:nvSpPr>
        <xdr:cNvPr id="12" name="Rectangle: Rounded Corners 11">
          <a:extLst>
            <a:ext uri="{FF2B5EF4-FFF2-40B4-BE49-F238E27FC236}">
              <a16:creationId xmlns:a16="http://schemas.microsoft.com/office/drawing/2014/main" id="{F60014F4-91CB-6C5A-C687-84A94053DBC8}"/>
            </a:ext>
          </a:extLst>
        </xdr:cNvPr>
        <xdr:cNvSpPr/>
      </xdr:nvSpPr>
      <xdr:spPr>
        <a:xfrm>
          <a:off x="1188720" y="2377440"/>
          <a:ext cx="127254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AD6DD8A-01E1-4858-A157-0AC14B67553A}" type="TxLink">
            <a:rPr lang="en-US" sz="1050" b="0" i="0" u="none" strike="noStrike">
              <a:solidFill>
                <a:schemeClr val="bg1"/>
              </a:solidFill>
              <a:latin typeface="Calibri"/>
              <a:cs typeface="Calibri"/>
            </a:rPr>
            <a:pPr algn="ctr"/>
            <a:t> 278,00 ₼ </a:t>
          </a:fld>
          <a:endParaRPr lang="az-Latn-AZ" sz="1600">
            <a:solidFill>
              <a:schemeClr val="bg1"/>
            </a:solidFill>
            <a:latin typeface="Palatino Linotype" panose="02040502050505030304" pitchFamily="18" charset="0"/>
          </a:endParaRPr>
        </a:p>
      </xdr:txBody>
    </xdr:sp>
    <xdr:clientData/>
  </xdr:twoCellAnchor>
  <xdr:twoCellAnchor editAs="absolute">
    <xdr:from>
      <xdr:col>2</xdr:col>
      <xdr:colOff>401109</xdr:colOff>
      <xdr:row>14</xdr:row>
      <xdr:rowOff>90020</xdr:rowOff>
    </xdr:from>
    <xdr:to>
      <xdr:col>3</xdr:col>
      <xdr:colOff>257342</xdr:colOff>
      <xdr:row>16</xdr:row>
      <xdr:rowOff>6901</xdr:rowOff>
    </xdr:to>
    <xdr:sp macro="" textlink="">
      <xdr:nvSpPr>
        <xdr:cNvPr id="13" name="TextBox 12">
          <a:extLst>
            <a:ext uri="{FF2B5EF4-FFF2-40B4-BE49-F238E27FC236}">
              <a16:creationId xmlns:a16="http://schemas.microsoft.com/office/drawing/2014/main" id="{7C8DA795-BA45-02C6-A4EA-F51F47FEED7F}"/>
            </a:ext>
          </a:extLst>
        </xdr:cNvPr>
        <xdr:cNvSpPr txBox="1"/>
      </xdr:nvSpPr>
      <xdr:spPr>
        <a:xfrm>
          <a:off x="1620309" y="2650340"/>
          <a:ext cx="465833" cy="282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az-Latn-AZ" sz="1100">
              <a:solidFill>
                <a:schemeClr val="bg1"/>
              </a:solidFill>
              <a:latin typeface="Palatino Linotype" panose="02040502050505030304" pitchFamily="18" charset="0"/>
            </a:rPr>
            <a:t>Xərc</a:t>
          </a:r>
        </a:p>
      </xdr:txBody>
    </xdr:sp>
    <xdr:clientData/>
  </xdr:twoCellAnchor>
  <xdr:twoCellAnchor editAs="absolute">
    <xdr:from>
      <xdr:col>0</xdr:col>
      <xdr:colOff>312420</xdr:colOff>
      <xdr:row>20</xdr:row>
      <xdr:rowOff>167640</xdr:rowOff>
    </xdr:from>
    <xdr:to>
      <xdr:col>5</xdr:col>
      <xdr:colOff>198120</xdr:colOff>
      <xdr:row>34</xdr:row>
      <xdr:rowOff>106680</xdr:rowOff>
    </xdr:to>
    <xdr:graphicFrame macro="">
      <xdr:nvGraphicFramePr>
        <xdr:cNvPr id="2" name="Chart 1">
          <a:extLst>
            <a:ext uri="{FF2B5EF4-FFF2-40B4-BE49-F238E27FC236}">
              <a16:creationId xmlns:a16="http://schemas.microsoft.com/office/drawing/2014/main" id="{75D0D26B-701B-4CFC-8347-35FB487FA5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167640</xdr:colOff>
      <xdr:row>6</xdr:row>
      <xdr:rowOff>175260</xdr:rowOff>
    </xdr:from>
    <xdr:to>
      <xdr:col>22</xdr:col>
      <xdr:colOff>449580</xdr:colOff>
      <xdr:row>10</xdr:row>
      <xdr:rowOff>30480</xdr:rowOff>
    </xdr:to>
    <xdr:sp macro="" textlink="Pivot!E13">
      <xdr:nvSpPr>
        <xdr:cNvPr id="14" name="Rectangle: Rounded Corners 13">
          <a:extLst>
            <a:ext uri="{FF2B5EF4-FFF2-40B4-BE49-F238E27FC236}">
              <a16:creationId xmlns:a16="http://schemas.microsoft.com/office/drawing/2014/main" id="{F008EA83-521A-6230-DCB1-34AA78ACE83F}"/>
            </a:ext>
          </a:extLst>
        </xdr:cNvPr>
        <xdr:cNvSpPr/>
      </xdr:nvSpPr>
      <xdr:spPr>
        <a:xfrm>
          <a:off x="12359640" y="1272540"/>
          <a:ext cx="1501140" cy="586740"/>
        </a:xfrm>
        <a:prstGeom prst="roundRect">
          <a:avLst/>
        </a:prstGeom>
        <a:solidFill>
          <a:srgbClr val="283B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2176549-3CF1-41F5-AD42-FC536294F7A0}" type="TxLink">
            <a:rPr lang="en-US" sz="1800" b="0" i="0" u="none" strike="noStrike">
              <a:solidFill>
                <a:schemeClr val="bg1"/>
              </a:solidFill>
              <a:latin typeface="Palatino Linotype" panose="02040502050505030304" pitchFamily="18" charset="0"/>
              <a:cs typeface="Calibri"/>
            </a:rPr>
            <a:pPr algn="ctr"/>
            <a:t>20</a:t>
          </a:fld>
          <a:endParaRPr lang="az-Latn-AZ" sz="1800">
            <a:solidFill>
              <a:schemeClr val="bg1"/>
            </a:solidFill>
            <a:latin typeface="Palatino Linotype" panose="02040502050505030304" pitchFamily="18" charset="0"/>
          </a:endParaRPr>
        </a:p>
      </xdr:txBody>
    </xdr:sp>
    <xdr:clientData/>
  </xdr:twoCellAnchor>
  <xdr:twoCellAnchor editAs="absolute">
    <xdr:from>
      <xdr:col>20</xdr:col>
      <xdr:colOff>182880</xdr:colOff>
      <xdr:row>11</xdr:row>
      <xdr:rowOff>72390</xdr:rowOff>
    </xdr:from>
    <xdr:to>
      <xdr:col>22</xdr:col>
      <xdr:colOff>449580</xdr:colOff>
      <xdr:row>14</xdr:row>
      <xdr:rowOff>110490</xdr:rowOff>
    </xdr:to>
    <xdr:sp macro="" textlink="Pivot!E19">
      <xdr:nvSpPr>
        <xdr:cNvPr id="15" name="Rectangle: Rounded Corners 14">
          <a:extLst>
            <a:ext uri="{FF2B5EF4-FFF2-40B4-BE49-F238E27FC236}">
              <a16:creationId xmlns:a16="http://schemas.microsoft.com/office/drawing/2014/main" id="{A576B0BF-0D91-4DC7-8BE7-5550CA06D292}"/>
            </a:ext>
          </a:extLst>
        </xdr:cNvPr>
        <xdr:cNvSpPr/>
      </xdr:nvSpPr>
      <xdr:spPr>
        <a:xfrm>
          <a:off x="12374880" y="2084070"/>
          <a:ext cx="1485900" cy="586740"/>
        </a:xfrm>
        <a:prstGeom prst="roundRect">
          <a:avLst/>
        </a:prstGeom>
        <a:solidFill>
          <a:srgbClr val="283B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DCB9768-14CB-4671-9A27-3F05A8C52B5A}" type="TxLink">
            <a:rPr lang="en-US" sz="1600" b="0" i="0" u="none" strike="noStrike">
              <a:solidFill>
                <a:schemeClr val="bg1"/>
              </a:solidFill>
              <a:latin typeface="Palatino Linotype" panose="02040502050505030304" pitchFamily="18" charset="0"/>
              <a:cs typeface="Calibri"/>
            </a:rPr>
            <a:pPr algn="ctr"/>
            <a:t> 4.051,00 ₼ </a:t>
          </a:fld>
          <a:endParaRPr lang="az-Latn-AZ" sz="1600">
            <a:solidFill>
              <a:schemeClr val="bg1"/>
            </a:solidFill>
            <a:latin typeface="Palatino Linotype" panose="02040502050505030304" pitchFamily="18" charset="0"/>
          </a:endParaRPr>
        </a:p>
      </xdr:txBody>
    </xdr:sp>
    <xdr:clientData/>
  </xdr:twoCellAnchor>
  <xdr:twoCellAnchor editAs="absolute">
    <xdr:from>
      <xdr:col>20</xdr:col>
      <xdr:colOff>198120</xdr:colOff>
      <xdr:row>15</xdr:row>
      <xdr:rowOff>152400</xdr:rowOff>
    </xdr:from>
    <xdr:to>
      <xdr:col>22</xdr:col>
      <xdr:colOff>449580</xdr:colOff>
      <xdr:row>19</xdr:row>
      <xdr:rowOff>7620</xdr:rowOff>
    </xdr:to>
    <xdr:sp macro="" textlink="Pivot!E23">
      <xdr:nvSpPr>
        <xdr:cNvPr id="16" name="Rectangle: Rounded Corners 15">
          <a:extLst>
            <a:ext uri="{FF2B5EF4-FFF2-40B4-BE49-F238E27FC236}">
              <a16:creationId xmlns:a16="http://schemas.microsoft.com/office/drawing/2014/main" id="{E067CE0B-8FB4-4906-9178-306B8180981C}"/>
            </a:ext>
          </a:extLst>
        </xdr:cNvPr>
        <xdr:cNvSpPr/>
      </xdr:nvSpPr>
      <xdr:spPr>
        <a:xfrm>
          <a:off x="12390120" y="2895600"/>
          <a:ext cx="1470660" cy="586740"/>
        </a:xfrm>
        <a:prstGeom prst="roundRect">
          <a:avLst/>
        </a:prstGeom>
        <a:solidFill>
          <a:srgbClr val="283B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48B559C7-F1F7-46F0-81BD-9E05FAE650CC}" type="TxLink">
            <a:rPr lang="en-US" sz="1600" b="0" i="0" u="none" strike="noStrike">
              <a:solidFill>
                <a:schemeClr val="bg1"/>
              </a:solidFill>
              <a:latin typeface="Palatino Linotype" panose="02040502050505030304" pitchFamily="18" charset="0"/>
              <a:ea typeface="+mn-ea"/>
              <a:cs typeface="Calibri"/>
            </a:rPr>
            <a:pPr marL="0" indent="0" algn="ctr"/>
            <a:t> 3.773,00 ₼ </a:t>
          </a:fld>
          <a:endParaRPr lang="az-Latn-AZ" sz="1600" b="0" i="0" u="none" strike="noStrike">
            <a:solidFill>
              <a:schemeClr val="bg1"/>
            </a:solidFill>
            <a:latin typeface="Palatino Linotype" panose="02040502050505030304" pitchFamily="18" charset="0"/>
            <a:ea typeface="+mn-ea"/>
            <a:cs typeface="Calibri"/>
          </a:endParaRPr>
        </a:p>
      </xdr:txBody>
    </xdr:sp>
    <xdr:clientData/>
  </xdr:twoCellAnchor>
  <xdr:twoCellAnchor editAs="absolute">
    <xdr:from>
      <xdr:col>20</xdr:col>
      <xdr:colOff>327660</xdr:colOff>
      <xdr:row>8</xdr:row>
      <xdr:rowOff>129540</xdr:rowOff>
    </xdr:from>
    <xdr:to>
      <xdr:col>22</xdr:col>
      <xdr:colOff>423948</xdr:colOff>
      <xdr:row>10</xdr:row>
      <xdr:rowOff>29174</xdr:rowOff>
    </xdr:to>
    <xdr:sp macro="" textlink="">
      <xdr:nvSpPr>
        <xdr:cNvPr id="17" name="TextBox 16">
          <a:extLst>
            <a:ext uri="{FF2B5EF4-FFF2-40B4-BE49-F238E27FC236}">
              <a16:creationId xmlns:a16="http://schemas.microsoft.com/office/drawing/2014/main" id="{1F5B851D-F491-46D9-B91A-16054864AC78}"/>
            </a:ext>
          </a:extLst>
        </xdr:cNvPr>
        <xdr:cNvSpPr txBox="1"/>
      </xdr:nvSpPr>
      <xdr:spPr>
        <a:xfrm>
          <a:off x="12519660" y="1592580"/>
          <a:ext cx="1315488" cy="265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az-Latn-AZ" sz="1000">
              <a:solidFill>
                <a:schemeClr val="bg1"/>
              </a:solidFill>
              <a:latin typeface="Palatino Linotype" panose="02040502050505030304" pitchFamily="18" charset="0"/>
            </a:rPr>
            <a:t>Ümumi tranzaksiya</a:t>
          </a:r>
        </a:p>
      </xdr:txBody>
    </xdr:sp>
    <xdr:clientData/>
  </xdr:twoCellAnchor>
  <xdr:twoCellAnchor editAs="absolute">
    <xdr:from>
      <xdr:col>20</xdr:col>
      <xdr:colOff>504150</xdr:colOff>
      <xdr:row>13</xdr:row>
      <xdr:rowOff>15240</xdr:rowOff>
    </xdr:from>
    <xdr:to>
      <xdr:col>22</xdr:col>
      <xdr:colOff>201739</xdr:colOff>
      <xdr:row>14</xdr:row>
      <xdr:rowOff>97754</xdr:rowOff>
    </xdr:to>
    <xdr:sp macro="" textlink="">
      <xdr:nvSpPr>
        <xdr:cNvPr id="18" name="TextBox 17">
          <a:extLst>
            <a:ext uri="{FF2B5EF4-FFF2-40B4-BE49-F238E27FC236}">
              <a16:creationId xmlns:a16="http://schemas.microsoft.com/office/drawing/2014/main" id="{5FB5B6BB-642E-495C-8F25-A1490303E863}"/>
            </a:ext>
          </a:extLst>
        </xdr:cNvPr>
        <xdr:cNvSpPr txBox="1"/>
      </xdr:nvSpPr>
      <xdr:spPr>
        <a:xfrm>
          <a:off x="12696150" y="2392680"/>
          <a:ext cx="916789" cy="265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az-Latn-AZ" sz="1000">
              <a:solidFill>
                <a:schemeClr val="bg1"/>
              </a:solidFill>
              <a:latin typeface="Palatino Linotype" panose="02040502050505030304" pitchFamily="18" charset="0"/>
            </a:rPr>
            <a:t>Ümumi gəlir</a:t>
          </a:r>
        </a:p>
      </xdr:txBody>
    </xdr:sp>
    <xdr:clientData/>
  </xdr:twoCellAnchor>
  <xdr:twoCellAnchor editAs="absolute">
    <xdr:from>
      <xdr:col>21</xdr:col>
      <xdr:colOff>83832</xdr:colOff>
      <xdr:row>17</xdr:row>
      <xdr:rowOff>106680</xdr:rowOff>
    </xdr:from>
    <xdr:to>
      <xdr:col>22</xdr:col>
      <xdr:colOff>12456</xdr:colOff>
      <xdr:row>19</xdr:row>
      <xdr:rowOff>6314</xdr:rowOff>
    </xdr:to>
    <xdr:sp macro="" textlink="">
      <xdr:nvSpPr>
        <xdr:cNvPr id="19" name="TextBox 18">
          <a:extLst>
            <a:ext uri="{FF2B5EF4-FFF2-40B4-BE49-F238E27FC236}">
              <a16:creationId xmlns:a16="http://schemas.microsoft.com/office/drawing/2014/main" id="{95673040-B154-4444-870D-54458777B0CC}"/>
            </a:ext>
          </a:extLst>
        </xdr:cNvPr>
        <xdr:cNvSpPr txBox="1"/>
      </xdr:nvSpPr>
      <xdr:spPr>
        <a:xfrm>
          <a:off x="12885432" y="3215640"/>
          <a:ext cx="538224" cy="265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az-Latn-AZ" sz="1000">
              <a:solidFill>
                <a:schemeClr val="bg1"/>
              </a:solidFill>
              <a:latin typeface="Palatino Linotype" panose="02040502050505030304" pitchFamily="18" charset="0"/>
            </a:rPr>
            <a:t>Büdcə</a:t>
          </a:r>
        </a:p>
      </xdr:txBody>
    </xdr:sp>
    <xdr:clientData/>
  </xdr:twoCellAnchor>
  <xdr:twoCellAnchor editAs="absolute">
    <xdr:from>
      <xdr:col>6</xdr:col>
      <xdr:colOff>15240</xdr:colOff>
      <xdr:row>34</xdr:row>
      <xdr:rowOff>60960</xdr:rowOff>
    </xdr:from>
    <xdr:to>
      <xdr:col>22</xdr:col>
      <xdr:colOff>106680</xdr:colOff>
      <xdr:row>36</xdr:row>
      <xdr:rowOff>160020</xdr:rowOff>
    </xdr:to>
    <mc:AlternateContent xmlns:mc="http://schemas.openxmlformats.org/markup-compatibility/2006" xmlns:a14="http://schemas.microsoft.com/office/drawing/2010/main">
      <mc:Choice Requires="a14">
        <xdr:graphicFrame macro="">
          <xdr:nvGraphicFramePr>
            <xdr:cNvPr id="21" name="Years (Date)">
              <a:extLst>
                <a:ext uri="{FF2B5EF4-FFF2-40B4-BE49-F238E27FC236}">
                  <a16:creationId xmlns:a16="http://schemas.microsoft.com/office/drawing/2014/main" id="{1FFCF6F7-6168-4523-84BF-E6014678DCF9}"/>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3672840" y="6278880"/>
              <a:ext cx="7292340" cy="464820"/>
            </a:xfrm>
            <a:prstGeom prst="rect">
              <a:avLst/>
            </a:prstGeom>
            <a:solidFill>
              <a:prstClr val="white"/>
            </a:solidFill>
            <a:ln w="1">
              <a:solidFill>
                <a:prstClr val="green"/>
              </a:solidFill>
            </a:ln>
          </xdr:spPr>
          <xdr:txBody>
            <a:bodyPr vertOverflow="clip" horzOverflow="clip"/>
            <a:lstStyle/>
            <a:p>
              <a:r>
                <a:rPr lang="az-Latn-A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160020</xdr:colOff>
      <xdr:row>20</xdr:row>
      <xdr:rowOff>160020</xdr:rowOff>
    </xdr:from>
    <xdr:to>
      <xdr:col>22</xdr:col>
      <xdr:colOff>502920</xdr:colOff>
      <xdr:row>33</xdr:row>
      <xdr:rowOff>175260</xdr:rowOff>
    </xdr:to>
    <xdr:graphicFrame macro="">
      <xdr:nvGraphicFramePr>
        <xdr:cNvPr id="22" name="Chart 21">
          <a:extLst>
            <a:ext uri="{FF2B5EF4-FFF2-40B4-BE49-F238E27FC236}">
              <a16:creationId xmlns:a16="http://schemas.microsoft.com/office/drawing/2014/main" id="{07533311-B923-406D-B842-D94E8AEAFA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228600</xdr:colOff>
      <xdr:row>6</xdr:row>
      <xdr:rowOff>83820</xdr:rowOff>
    </xdr:from>
    <xdr:to>
      <xdr:col>19</xdr:col>
      <xdr:colOff>457200</xdr:colOff>
      <xdr:row>20</xdr:row>
      <xdr:rowOff>22860</xdr:rowOff>
    </xdr:to>
    <xdr:graphicFrame macro="">
      <xdr:nvGraphicFramePr>
        <xdr:cNvPr id="3" name="Chart 2">
          <a:extLst>
            <a:ext uri="{FF2B5EF4-FFF2-40B4-BE49-F238E27FC236}">
              <a16:creationId xmlns:a16="http://schemas.microsoft.com/office/drawing/2014/main" id="{8C028287-2F42-4014-8544-6E8EBE1B6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137160</xdr:colOff>
      <xdr:row>6</xdr:row>
      <xdr:rowOff>137160</xdr:rowOff>
    </xdr:from>
    <xdr:to>
      <xdr:col>11</xdr:col>
      <xdr:colOff>601980</xdr:colOff>
      <xdr:row>20</xdr:row>
      <xdr:rowOff>45720</xdr:rowOff>
    </xdr:to>
    <xdr:graphicFrame macro="">
      <xdr:nvGraphicFramePr>
        <xdr:cNvPr id="4" name="Chart 3">
          <a:extLst>
            <a:ext uri="{FF2B5EF4-FFF2-40B4-BE49-F238E27FC236}">
              <a16:creationId xmlns:a16="http://schemas.microsoft.com/office/drawing/2014/main" id="{C6315304-873F-4232-9F18-C722BC0455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289560</xdr:colOff>
      <xdr:row>6</xdr:row>
      <xdr:rowOff>30480</xdr:rowOff>
    </xdr:from>
    <xdr:to>
      <xdr:col>7</xdr:col>
      <xdr:colOff>419100</xdr:colOff>
      <xdr:row>8</xdr:row>
      <xdr:rowOff>60960</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DFFA3A2F-3439-4034-BAFF-9A3469BEB25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337560" y="1127760"/>
              <a:ext cx="1348740" cy="396240"/>
            </a:xfrm>
            <a:prstGeom prst="rect">
              <a:avLst/>
            </a:prstGeom>
            <a:solidFill>
              <a:prstClr val="white"/>
            </a:solidFill>
            <a:ln w="1">
              <a:solidFill>
                <a:prstClr val="green"/>
              </a:solidFill>
            </a:ln>
          </xdr:spPr>
          <xdr:txBody>
            <a:bodyPr vertOverflow="clip" horzOverflow="clip"/>
            <a:lstStyle/>
            <a:p>
              <a:r>
                <a:rPr lang="az-Latn-A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60960</xdr:colOff>
      <xdr:row>8</xdr:row>
      <xdr:rowOff>129541</xdr:rowOff>
    </xdr:from>
    <xdr:to>
      <xdr:col>8</xdr:col>
      <xdr:colOff>114300</xdr:colOff>
      <xdr:row>19</xdr:row>
      <xdr:rowOff>137160</xdr:rowOff>
    </xdr:to>
    <mc:AlternateContent xmlns:mc="http://schemas.openxmlformats.org/markup-compatibility/2006" xmlns:a14="http://schemas.microsoft.com/office/drawing/2010/main">
      <mc:Choice Requires="a14">
        <xdr:graphicFrame macro="">
          <xdr:nvGraphicFramePr>
            <xdr:cNvPr id="11" name="Maddə 1">
              <a:extLst>
                <a:ext uri="{FF2B5EF4-FFF2-40B4-BE49-F238E27FC236}">
                  <a16:creationId xmlns:a16="http://schemas.microsoft.com/office/drawing/2014/main" id="{81CEC3DB-5879-4AE0-BE96-CDAB80567CD9}"/>
                </a:ext>
              </a:extLst>
            </xdr:cNvPr>
            <xdr:cNvGraphicFramePr/>
          </xdr:nvGraphicFramePr>
          <xdr:xfrm>
            <a:off x="0" y="0"/>
            <a:ext cx="0" cy="0"/>
          </xdr:xfrm>
          <a:graphic>
            <a:graphicData uri="http://schemas.microsoft.com/office/drawing/2010/slicer">
              <sle:slicer xmlns:sle="http://schemas.microsoft.com/office/drawing/2010/slicer" name="Maddə 1"/>
            </a:graphicData>
          </a:graphic>
        </xdr:graphicFrame>
      </mc:Choice>
      <mc:Fallback xmlns="">
        <xdr:sp macro="" textlink="">
          <xdr:nvSpPr>
            <xdr:cNvPr id="0" name=""/>
            <xdr:cNvSpPr>
              <a:spLocks noTextEdit="1"/>
            </xdr:cNvSpPr>
          </xdr:nvSpPr>
          <xdr:spPr>
            <a:xfrm>
              <a:off x="3108960" y="1592581"/>
              <a:ext cx="1882140" cy="2019299"/>
            </a:xfrm>
            <a:prstGeom prst="rect">
              <a:avLst/>
            </a:prstGeom>
            <a:solidFill>
              <a:prstClr val="white"/>
            </a:solidFill>
            <a:ln w="1">
              <a:solidFill>
                <a:prstClr val="green"/>
              </a:solidFill>
            </a:ln>
          </xdr:spPr>
          <xdr:txBody>
            <a:bodyPr vertOverflow="clip" horzOverflow="clip"/>
            <a:lstStyle/>
            <a:p>
              <a:r>
                <a:rPr lang="az-Latn-A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594360</xdr:colOff>
      <xdr:row>0</xdr:row>
      <xdr:rowOff>76200</xdr:rowOff>
    </xdr:from>
    <xdr:to>
      <xdr:col>23</xdr:col>
      <xdr:colOff>236220</xdr:colOff>
      <xdr:row>5</xdr:row>
      <xdr:rowOff>22860</xdr:rowOff>
    </xdr:to>
    <xdr:pic macro="[0]!btn_showTaxcalculation">
      <xdr:nvPicPr>
        <xdr:cNvPr id="24" name="Graphic 23" descr="Calculator with solid fill">
          <a:extLst>
            <a:ext uri="{FF2B5EF4-FFF2-40B4-BE49-F238E27FC236}">
              <a16:creationId xmlns:a16="http://schemas.microsoft.com/office/drawing/2014/main" id="{9E5BB17E-9BA4-BF29-875F-371A601D7F4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95960" y="76200"/>
          <a:ext cx="861060" cy="8610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304800</xdr:colOff>
      <xdr:row>10</xdr:row>
      <xdr:rowOff>26670</xdr:rowOff>
    </xdr:from>
    <xdr:to>
      <xdr:col>9</xdr:col>
      <xdr:colOff>723900</xdr:colOff>
      <xdr:row>16</xdr:row>
      <xdr:rowOff>144780</xdr:rowOff>
    </xdr:to>
    <xdr:graphicFrame macro="">
      <xdr:nvGraphicFramePr>
        <xdr:cNvPr id="3" name="Chart 2">
          <a:extLst>
            <a:ext uri="{FF2B5EF4-FFF2-40B4-BE49-F238E27FC236}">
              <a16:creationId xmlns:a16="http://schemas.microsoft.com/office/drawing/2014/main" id="{8F826ECA-F4CD-2A90-8BC1-760B6B3652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579120</xdr:colOff>
      <xdr:row>12</xdr:row>
      <xdr:rowOff>11430</xdr:rowOff>
    </xdr:from>
    <xdr:to>
      <xdr:col>20</xdr:col>
      <xdr:colOff>708660</xdr:colOff>
      <xdr:row>18</xdr:row>
      <xdr:rowOff>83820</xdr:rowOff>
    </xdr:to>
    <xdr:graphicFrame macro="">
      <xdr:nvGraphicFramePr>
        <xdr:cNvPr id="5" name="Chart 4">
          <a:extLst>
            <a:ext uri="{FF2B5EF4-FFF2-40B4-BE49-F238E27FC236}">
              <a16:creationId xmlns:a16="http://schemas.microsoft.com/office/drawing/2014/main" id="{2B016B30-0E1F-0AB8-47FA-8287552A0E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1600200</xdr:colOff>
      <xdr:row>12</xdr:row>
      <xdr:rowOff>41910</xdr:rowOff>
    </xdr:from>
    <xdr:to>
      <xdr:col>27</xdr:col>
      <xdr:colOff>419100</xdr:colOff>
      <xdr:row>20</xdr:row>
      <xdr:rowOff>144780</xdr:rowOff>
    </xdr:to>
    <xdr:graphicFrame macro="">
      <xdr:nvGraphicFramePr>
        <xdr:cNvPr id="6" name="Chart 5">
          <a:extLst>
            <a:ext uri="{FF2B5EF4-FFF2-40B4-BE49-F238E27FC236}">
              <a16:creationId xmlns:a16="http://schemas.microsoft.com/office/drawing/2014/main" id="{4EF1F5C9-7BE7-4CE0-3B33-7807317721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53340</xdr:colOff>
      <xdr:row>7</xdr:row>
      <xdr:rowOff>148590</xdr:rowOff>
    </xdr:from>
    <xdr:to>
      <xdr:col>1</xdr:col>
      <xdr:colOff>822960</xdr:colOff>
      <xdr:row>17</xdr:row>
      <xdr:rowOff>91440</xdr:rowOff>
    </xdr:to>
    <xdr:graphicFrame macro="">
      <xdr:nvGraphicFramePr>
        <xdr:cNvPr id="7" name="Chart 6">
          <a:extLst>
            <a:ext uri="{FF2B5EF4-FFF2-40B4-BE49-F238E27FC236}">
              <a16:creationId xmlns:a16="http://schemas.microsoft.com/office/drawing/2014/main" id="{A85CB8A2-1A71-C313-239C-60B3D39174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289560</xdr:colOff>
      <xdr:row>19</xdr:row>
      <xdr:rowOff>38100</xdr:rowOff>
    </xdr:from>
    <xdr:to>
      <xdr:col>17</xdr:col>
      <xdr:colOff>220980</xdr:colOff>
      <xdr:row>34</xdr:row>
      <xdr:rowOff>38100</xdr:rowOff>
    </xdr:to>
    <xdr:graphicFrame macro="">
      <xdr:nvGraphicFramePr>
        <xdr:cNvPr id="13" name="Chart 12">
          <a:extLst>
            <a:ext uri="{FF2B5EF4-FFF2-40B4-BE49-F238E27FC236}">
              <a16:creationId xmlns:a16="http://schemas.microsoft.com/office/drawing/2014/main" id="{E5224BE4-715F-68C2-369E-4893CBBB4E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327660</xdr:colOff>
      <xdr:row>2</xdr:row>
      <xdr:rowOff>175259</xdr:rowOff>
    </xdr:from>
    <xdr:to>
      <xdr:col>35</xdr:col>
      <xdr:colOff>361951</xdr:colOff>
      <xdr:row>7</xdr:row>
      <xdr:rowOff>20955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602B56C3-22A9-846B-DCA7-01DE130285D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886036" y="533847"/>
              <a:ext cx="802789" cy="751692"/>
            </a:xfrm>
            <a:prstGeom prst="rect">
              <a:avLst/>
            </a:prstGeom>
            <a:solidFill>
              <a:prstClr val="white"/>
            </a:solidFill>
            <a:ln w="1">
              <a:solidFill>
                <a:prstClr val="green"/>
              </a:solidFill>
            </a:ln>
          </xdr:spPr>
          <xdr:txBody>
            <a:bodyPr vertOverflow="clip" horzOverflow="clip"/>
            <a:lstStyle/>
            <a:p>
              <a:r>
                <a:rPr lang="az-Latn-A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36</xdr:col>
      <xdr:colOff>291354</xdr:colOff>
      <xdr:row>2</xdr:row>
      <xdr:rowOff>21291</xdr:rowOff>
    </xdr:from>
    <xdr:to>
      <xdr:col>44</xdr:col>
      <xdr:colOff>269390</xdr:colOff>
      <xdr:row>17</xdr:row>
      <xdr:rowOff>21291</xdr:rowOff>
    </xdr:to>
    <xdr:graphicFrame macro="">
      <xdr:nvGraphicFramePr>
        <xdr:cNvPr id="4" name="Chart 3">
          <a:extLst>
            <a:ext uri="{FF2B5EF4-FFF2-40B4-BE49-F238E27FC236}">
              <a16:creationId xmlns:a16="http://schemas.microsoft.com/office/drawing/2014/main" id="{D1000594-C163-B6BD-5144-827AE361E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192741</xdr:colOff>
      <xdr:row>18</xdr:row>
      <xdr:rowOff>116542</xdr:rowOff>
    </xdr:from>
    <xdr:to>
      <xdr:col>44</xdr:col>
      <xdr:colOff>40341</xdr:colOff>
      <xdr:row>33</xdr:row>
      <xdr:rowOff>170330</xdr:rowOff>
    </xdr:to>
    <xdr:graphicFrame macro="">
      <xdr:nvGraphicFramePr>
        <xdr:cNvPr id="9" name="Chart 8">
          <a:extLst>
            <a:ext uri="{FF2B5EF4-FFF2-40B4-BE49-F238E27FC236}">
              <a16:creationId xmlns:a16="http://schemas.microsoft.com/office/drawing/2014/main" id="{243A5F55-7740-E497-F9A1-E2A4E346F2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45</xdr:col>
      <xdr:colOff>50201</xdr:colOff>
      <xdr:row>12</xdr:row>
      <xdr:rowOff>66789</xdr:rowOff>
    </xdr:from>
    <xdr:to>
      <xdr:col>48</xdr:col>
      <xdr:colOff>377187</xdr:colOff>
      <xdr:row>29</xdr:row>
      <xdr:rowOff>98053</xdr:rowOff>
    </xdr:to>
    <mc:AlternateContent xmlns:mc="http://schemas.openxmlformats.org/markup-compatibility/2006" xmlns:a14="http://schemas.microsoft.com/office/drawing/2010/main">
      <mc:Choice Requires="a14">
        <xdr:graphicFrame macro="">
          <xdr:nvGraphicFramePr>
            <xdr:cNvPr id="10" name="Maddə">
              <a:extLst>
                <a:ext uri="{FF2B5EF4-FFF2-40B4-BE49-F238E27FC236}">
                  <a16:creationId xmlns:a16="http://schemas.microsoft.com/office/drawing/2014/main" id="{4F2D42A7-65B9-134B-B9E1-4ADD0E321DD2}"/>
                </a:ext>
              </a:extLst>
            </xdr:cNvPr>
            <xdr:cNvGraphicFramePr/>
          </xdr:nvGraphicFramePr>
          <xdr:xfrm>
            <a:off x="0" y="0"/>
            <a:ext cx="0" cy="0"/>
          </xdr:xfrm>
          <a:graphic>
            <a:graphicData uri="http://schemas.microsoft.com/office/drawing/2010/slicer">
              <sle:slicer xmlns:sle="http://schemas.microsoft.com/office/drawing/2010/slicer" name="Maddə"/>
            </a:graphicData>
          </a:graphic>
        </xdr:graphicFrame>
      </mc:Choice>
      <mc:Fallback xmlns="">
        <xdr:sp macro="" textlink="">
          <xdr:nvSpPr>
            <xdr:cNvPr id="0" name=""/>
            <xdr:cNvSpPr>
              <a:spLocks noTextEdit="1"/>
            </xdr:cNvSpPr>
          </xdr:nvSpPr>
          <xdr:spPr>
            <a:xfrm>
              <a:off x="32161777" y="2218318"/>
              <a:ext cx="2899186" cy="3088789"/>
            </a:xfrm>
            <a:prstGeom prst="rect">
              <a:avLst/>
            </a:prstGeom>
            <a:solidFill>
              <a:prstClr val="white"/>
            </a:solidFill>
            <a:ln w="1">
              <a:solidFill>
                <a:prstClr val="green"/>
              </a:solidFill>
            </a:ln>
          </xdr:spPr>
          <xdr:txBody>
            <a:bodyPr vertOverflow="clip" horzOverflow="clip"/>
            <a:lstStyle/>
            <a:p>
              <a:r>
                <a:rPr lang="az-Latn-A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an Gambarov" refreshedDate="45438.542245023149" createdVersion="8" refreshedVersion="8" minRefreshableVersion="3" recordCount="80" xr:uid="{45BF1B8A-77EC-4BB7-9A3D-1BD93D5EFDF3}">
  <cacheSource type="worksheet">
    <worksheetSource name="Table1"/>
  </cacheSource>
  <cacheFields count="11">
    <cacheField name="ID" numFmtId="0">
      <sharedItems/>
    </cacheField>
    <cacheField name="Date" numFmtId="14">
      <sharedItems containsSemiMixedTypes="0" containsNonDate="0" containsDate="1" containsString="0" minDate="2020-02-09T00:00:00" maxDate="2025-12-17T00:00:00" count="978">
        <d v="2021-05-06T00:00:00"/>
        <d v="2020-09-06T00:00:00"/>
        <d v="2021-08-15T00:00:00"/>
        <d v="2023-02-01T00:00:00"/>
        <d v="2020-10-25T00:00:00"/>
        <d v="2023-07-17T00:00:00"/>
        <d v="2022-07-31T00:00:00"/>
        <d v="2020-10-10T00:00:00"/>
        <d v="2023-12-01T00:00:00"/>
        <d v="2020-04-25T00:00:00"/>
        <d v="2022-02-03T00:00:00"/>
        <d v="2021-10-05T00:00:00"/>
        <d v="2021-07-11T00:00:00"/>
        <d v="2021-12-06T00:00:00"/>
        <d v="2023-12-10T00:00:00"/>
        <d v="2021-03-30T00:00:00"/>
        <d v="2020-03-19T00:00:00"/>
        <d v="2022-12-15T00:00:00"/>
        <d v="2023-04-07T00:00:00"/>
        <d v="2020-04-09T00:00:00"/>
        <d v="2022-09-14T00:00:00"/>
        <d v="2021-04-12T00:00:00"/>
        <d v="2023-01-11T00:00:00"/>
        <d v="2022-07-20T00:00:00"/>
        <d v="2020-09-04T00:00:00"/>
        <d v="2021-03-07T00:00:00"/>
        <d v="2023-10-14T00:00:00"/>
        <d v="2021-08-27T00:00:00"/>
        <d v="2023-05-26T00:00:00"/>
        <d v="2023-07-28T00:00:00"/>
        <d v="2022-07-23T00:00:00"/>
        <d v="2022-06-01T00:00:00"/>
        <d v="2023-10-11T00:00:00"/>
        <d v="2022-07-11T00:00:00"/>
        <d v="2023-12-05T00:00:00"/>
        <d v="2021-01-25T00:00:00"/>
        <d v="2021-02-13T00:00:00"/>
        <d v="2021-04-26T00:00:00"/>
        <d v="2022-08-29T00:00:00"/>
        <d v="2022-07-02T00:00:00"/>
        <d v="2021-10-08T00:00:00"/>
        <d v="2020-02-09T00:00:00"/>
        <d v="2021-10-15T00:00:00"/>
        <d v="2021-02-22T00:00:00"/>
        <d v="2020-11-01T00:00:00"/>
        <d v="2023-05-25T00:00:00"/>
        <d v="2021-03-10T00:00:00"/>
        <d v="2023-02-15T00:00:00"/>
        <d v="2023-10-04T00:00:00"/>
        <d v="2022-04-15T00:00:00"/>
        <d v="2022-09-17T00:00:00"/>
        <d v="2023-05-13T00:00:00"/>
        <d v="2022-11-19T00:00:00"/>
        <d v="2020-03-28T00:00:00"/>
        <d v="2021-06-10T00:00:00"/>
        <d v="2023-03-20T00:00:00"/>
        <d v="2020-06-24T00:00:00"/>
        <d v="2021-12-24T00:00:00"/>
        <d v="2023-03-02T00:00:00"/>
        <d v="2020-07-16T00:00:00"/>
        <d v="2020-03-29T00:00:00"/>
        <d v="2020-07-24T00:00:00"/>
        <d v="2021-07-01T00:00:00"/>
        <d v="2023-01-30T00:00:00"/>
        <d v="2023-06-27T00:00:00"/>
        <d v="2021-05-27T00:00:00"/>
        <d v="2020-10-28T00:00:00"/>
        <d v="2021-02-23T00:00:00"/>
        <d v="2022-08-22T00:00:00"/>
        <d v="2022-01-01T00:00:00"/>
        <d v="2022-03-12T00:00:00"/>
        <d v="2021-01-05T00:00:00"/>
        <d v="2021-08-30T00:00:00"/>
        <d v="2020-03-26T00:00:00"/>
        <d v="2022-06-05T00:00:00"/>
        <d v="2020-05-30T00:00:00"/>
        <d v="2020-03-09T00:00:00"/>
        <d v="2022-01-04T00:00:00"/>
        <d v="2022-12-24T00:00:00"/>
        <d v="2023-12-15T00:00:00"/>
        <d v="2023-12-25T00:00:00" u="1"/>
        <d v="2024-06-06T00:00:00" u="1"/>
        <d v="2024-06-07T00:00:00" u="1"/>
        <d v="2023-12-31T00:00:00" u="1"/>
        <d v="2023-12-11T00:00:00" u="1"/>
        <d v="2024-03-08T00:00:00" u="1"/>
        <d v="2021-03-01T00:00:00" u="1"/>
        <d v="2021-03-05T00:00:00" u="1"/>
        <d v="2021-06-23T00:00:00" u="1"/>
        <d v="2021-10-18T00:00:00" u="1"/>
        <d v="2020-10-26T00:00:00" u="1"/>
        <d v="2021-12-16T00:00:00" u="1"/>
        <d v="2023-05-22T00:00:00" u="1"/>
        <d v="2023-12-23T00:00:00" u="1"/>
        <d v="2023-11-16T00:00:00" u="1"/>
        <d v="2023-01-20T00:00:00" u="1"/>
        <d v="2023-07-03T00:00:00" u="1"/>
        <d v="2023-12-22T00:00:00" u="1"/>
        <d v="2020-04-22T00:00:00" u="1"/>
        <d v="2021-01-11T00:00:00" u="1"/>
        <d v="2020-09-03T00:00:00" u="1"/>
        <d v="2021-11-16T00:00:00" u="1"/>
        <d v="2023-03-28T00:00:00" u="1"/>
        <d v="2022-05-04T00:00:00" u="1"/>
        <d v="2023-12-19T00:00:00" u="1"/>
        <d v="2022-08-10T00:00:00" u="1"/>
        <d v="2020-09-24T00:00:00" u="1"/>
        <d v="2023-12-16T00:00:00" u="1"/>
        <d v="2023-12-14T00:00:00" u="1"/>
        <d v="2023-11-14T00:00:00" u="1"/>
        <d v="2023-11-10T00:00:00" u="1"/>
        <d v="2023-10-10T00:00:00" u="1"/>
        <d v="2023-10-16T00:00:00" u="1"/>
        <d v="2024-11-14T00:00:00" u="1"/>
        <d v="2024-11-10T00:00:00" u="1"/>
        <d v="2024-11-16T00:00:00" u="1"/>
        <d v="2024-12-10T00:00:00" u="1"/>
        <d v="2024-12-16T00:00:00" u="1"/>
        <d v="2024-10-14T00:00:00" u="1"/>
        <d v="2024-10-10T00:00:00" u="1"/>
        <d v="2024-10-16T00:00:00" u="1"/>
        <d v="2025-12-14T00:00:00" u="1"/>
        <d v="2025-12-10T00:00:00" u="1"/>
        <d v="2025-11-16T00:00:00" u="1"/>
        <d v="2025-11-14T00:00:00" u="1"/>
        <d v="2025-11-10T00:00:00" u="1"/>
        <d v="2025-12-16T00:00:00" u="1"/>
        <d v="2025-10-14T00:00:00" u="1"/>
        <d v="2025-10-10T00:00:00" u="1"/>
        <d v="2023-01-01T00:00:00" u="1"/>
        <d v="2023-01-02T00:00:00" u="1"/>
        <d v="2023-01-03T00:00:00" u="1"/>
        <d v="2023-01-04T00:00:00" u="1"/>
        <d v="2023-01-05T00:00:00" u="1"/>
        <d v="2023-01-06T00:00:00" u="1"/>
        <d v="2023-01-07T00:00:00" u="1"/>
        <d v="2023-01-08T00:00:00" u="1"/>
        <d v="2023-01-09T00:00:00" u="1"/>
        <d v="2023-01-10T00:00:00" u="1"/>
        <d v="2023-01-12T00:00:00" u="1"/>
        <d v="2023-01-13T00:00:00" u="1"/>
        <d v="2023-01-14T00:00:00" u="1"/>
        <d v="2023-01-15T00:00:00" u="1"/>
        <d v="2023-01-16T00:00:00" u="1"/>
        <d v="2023-01-17T00:00:00" u="1"/>
        <d v="2023-01-18T00:00:00" u="1"/>
        <d v="2023-01-19T00:00:00" u="1"/>
        <d v="2023-01-21T00:00:00" u="1"/>
        <d v="2023-01-22T00:00:00" u="1"/>
        <d v="2023-01-23T00:00:00" u="1"/>
        <d v="2023-01-24T00:00:00" u="1"/>
        <d v="2023-01-25T00:00:00" u="1"/>
        <d v="2023-01-26T00:00:00" u="1"/>
        <d v="2023-01-27T00:00:00" u="1"/>
        <d v="2023-01-28T00:00:00" u="1"/>
        <d v="2023-01-29T00:00:00" u="1"/>
        <d v="2023-01-31T00:00:00" u="1"/>
        <d v="2023-02-02T00:00:00" u="1"/>
        <d v="2023-02-03T00:00:00" u="1"/>
        <d v="2023-02-04T00:00:00" u="1"/>
        <d v="2023-02-05T00:00:00" u="1"/>
        <d v="2023-02-06T00:00:00" u="1"/>
        <d v="2023-02-07T00:00:00" u="1"/>
        <d v="2023-02-08T00:00:00" u="1"/>
        <d v="2023-02-09T00:00:00" u="1"/>
        <d v="2023-02-10T00:00:00" u="1"/>
        <d v="2023-02-11T00:00:00" u="1"/>
        <d v="2023-02-12T00:00:00" u="1"/>
        <d v="2023-02-13T00:00:00" u="1"/>
        <d v="2023-02-14T00:00:00" u="1"/>
        <d v="2023-02-16T00:00:00" u="1"/>
        <d v="2023-02-17T00:00:00" u="1"/>
        <d v="2023-02-18T00:00:00" u="1"/>
        <d v="2023-02-19T00:00:00" u="1"/>
        <d v="2023-02-20T00:00:00" u="1"/>
        <d v="2023-02-21T00:00:00" u="1"/>
        <d v="2023-02-22T00:00:00" u="1"/>
        <d v="2023-02-23T00:00:00" u="1"/>
        <d v="2023-02-24T00:00:00" u="1"/>
        <d v="2023-02-25T00:00:00" u="1"/>
        <d v="2023-02-26T00:00:00" u="1"/>
        <d v="2023-02-27T00:00:00" u="1"/>
        <d v="2023-02-28T00:00:00" u="1"/>
        <d v="2023-03-01T00:00:00" u="1"/>
        <d v="2023-03-03T00:00:00" u="1"/>
        <d v="2023-03-04T00:00:00" u="1"/>
        <d v="2023-03-05T00:00:00" u="1"/>
        <d v="2023-03-06T00:00:00" u="1"/>
        <d v="2023-03-07T00:00:00" u="1"/>
        <d v="2023-03-08T00:00:00" u="1"/>
        <d v="2023-03-09T00:00:00" u="1"/>
        <d v="2023-03-10T00:00:00" u="1"/>
        <d v="2023-03-11T00:00:00" u="1"/>
        <d v="2023-03-12T00:00:00" u="1"/>
        <d v="2023-03-13T00:00:00" u="1"/>
        <d v="2023-03-14T00:00:00" u="1"/>
        <d v="2023-03-15T00:00:00" u="1"/>
        <d v="2023-03-16T00:00:00" u="1"/>
        <d v="2023-03-17T00:00:00" u="1"/>
        <d v="2023-03-18T00:00:00" u="1"/>
        <d v="2023-03-19T00:00:00" u="1"/>
        <d v="2023-03-21T00:00:00" u="1"/>
        <d v="2023-03-22T00:00:00" u="1"/>
        <d v="2023-03-23T00:00:00" u="1"/>
        <d v="2023-03-24T00:00:00" u="1"/>
        <d v="2023-03-25T00:00:00" u="1"/>
        <d v="2023-03-26T00:00:00" u="1"/>
        <d v="2023-03-27T00:00:00" u="1"/>
        <d v="2023-03-29T00:00:00" u="1"/>
        <d v="2023-03-30T00:00:00" u="1"/>
        <d v="2023-03-31T00:00:00" u="1"/>
        <d v="2023-04-01T00:00:00" u="1"/>
        <d v="2023-04-02T00:00:00" u="1"/>
        <d v="2023-04-03T00:00:00" u="1"/>
        <d v="2023-04-04T00:00:00" u="1"/>
        <d v="2023-04-05T00:00:00" u="1"/>
        <d v="2023-04-06T00:00:00" u="1"/>
        <d v="2023-04-08T00:00:00" u="1"/>
        <d v="2023-04-09T00:00:00" u="1"/>
        <d v="2023-04-10T00:00:00" u="1"/>
        <d v="2023-04-11T00:00:00" u="1"/>
        <d v="2023-04-12T00:00:00" u="1"/>
        <d v="2023-04-13T00:00:00" u="1"/>
        <d v="2023-04-14T00:00:00" u="1"/>
        <d v="2023-04-15T00:00:00" u="1"/>
        <d v="2023-04-16T00:00:00" u="1"/>
        <d v="2023-04-17T00:00:00" u="1"/>
        <d v="2023-04-18T00:00:00" u="1"/>
        <d v="2023-04-19T00:00:00" u="1"/>
        <d v="2023-04-20T00:00:00" u="1"/>
        <d v="2023-04-21T00:00:00" u="1"/>
        <d v="2023-04-22T00:00:00" u="1"/>
        <d v="2023-04-23T00:00:00" u="1"/>
        <d v="2023-04-24T00:00:00" u="1"/>
        <d v="2023-04-25T00:00:00" u="1"/>
        <d v="2023-04-26T00:00:00" u="1"/>
        <d v="2023-04-27T00:00:00" u="1"/>
        <d v="2023-04-28T00:00:00" u="1"/>
        <d v="2023-04-29T00:00:00" u="1"/>
        <d v="2023-04-30T00:00:00" u="1"/>
        <d v="2023-05-01T00:00:00" u="1"/>
        <d v="2023-05-02T00:00:00" u="1"/>
        <d v="2023-05-03T00:00:00" u="1"/>
        <d v="2023-05-04T00:00:00" u="1"/>
        <d v="2023-05-05T00:00:00" u="1"/>
        <d v="2023-05-06T00:00:00" u="1"/>
        <d v="2023-05-07T00:00:00" u="1"/>
        <d v="2023-05-08T00:00:00" u="1"/>
        <d v="2023-05-09T00:00:00" u="1"/>
        <d v="2023-05-10T00:00:00" u="1"/>
        <d v="2023-05-11T00:00:00" u="1"/>
        <d v="2023-05-12T00:00:00" u="1"/>
        <d v="2023-05-14T00:00:00" u="1"/>
        <d v="2023-05-15T00:00:00" u="1"/>
        <d v="2023-05-16T00:00:00" u="1"/>
        <d v="2023-05-17T00:00:00" u="1"/>
        <d v="2023-05-18T00:00:00" u="1"/>
        <d v="2023-05-19T00:00:00" u="1"/>
        <d v="2023-05-20T00:00:00" u="1"/>
        <d v="2023-05-21T00:00:00" u="1"/>
        <d v="2023-05-23T00:00:00" u="1"/>
        <d v="2023-05-24T00:00:00" u="1"/>
        <d v="2023-05-27T00:00:00" u="1"/>
        <d v="2023-05-28T00:00:00" u="1"/>
        <d v="2023-05-29T00:00:00" u="1"/>
        <d v="2023-05-30T00:00:00" u="1"/>
        <d v="2023-05-31T00:00:00" u="1"/>
        <d v="2023-06-01T00:00:00" u="1"/>
        <d v="2023-06-02T00:00:00" u="1"/>
        <d v="2023-06-03T00:00:00" u="1"/>
        <d v="2023-06-04T00:00:00" u="1"/>
        <d v="2023-06-05T00:00:00" u="1"/>
        <d v="2023-06-06T00:00:00" u="1"/>
        <d v="2023-06-07T00:00:00" u="1"/>
        <d v="2023-06-08T00:00:00" u="1"/>
        <d v="2023-06-09T00:00:00" u="1"/>
        <d v="2023-06-10T00:00:00" u="1"/>
        <d v="2023-06-11T00:00:00" u="1"/>
        <d v="2023-06-12T00:00:00" u="1"/>
        <d v="2023-06-13T00:00:00" u="1"/>
        <d v="2023-06-14T00:00:00" u="1"/>
        <d v="2023-06-15T00:00:00" u="1"/>
        <d v="2023-06-16T00:00:00" u="1"/>
        <d v="2023-06-17T00:00:00" u="1"/>
        <d v="2023-06-18T00:00:00" u="1"/>
        <d v="2023-06-19T00:00:00" u="1"/>
        <d v="2023-06-20T00:00:00" u="1"/>
        <d v="2023-06-21T00:00:00" u="1"/>
        <d v="2023-06-22T00:00:00" u="1"/>
        <d v="2023-06-23T00:00:00" u="1"/>
        <d v="2023-06-24T00:00:00" u="1"/>
        <d v="2023-06-25T00:00:00" u="1"/>
        <d v="2023-06-26T00:00:00" u="1"/>
        <d v="2023-06-28T00:00:00" u="1"/>
        <d v="2023-06-29T00:00:00" u="1"/>
        <d v="2023-06-30T00:00:00" u="1"/>
        <d v="2023-07-01T00:00:00" u="1"/>
        <d v="2023-07-02T00:00:00" u="1"/>
        <d v="2023-07-04T00:00:00" u="1"/>
        <d v="2023-07-05T00:00:00" u="1"/>
        <d v="2023-07-06T00:00:00" u="1"/>
        <d v="2023-07-07T00:00:00" u="1"/>
        <d v="2023-07-08T00:00:00" u="1"/>
        <d v="2023-07-09T00:00:00" u="1"/>
        <d v="2023-07-10T00:00:00" u="1"/>
        <d v="2023-07-11T00:00:00" u="1"/>
        <d v="2023-07-12T00:00:00" u="1"/>
        <d v="2023-07-13T00:00:00" u="1"/>
        <d v="2023-07-14T00:00:00" u="1"/>
        <d v="2023-07-15T00:00:00" u="1"/>
        <d v="2023-07-16T00:00:00" u="1"/>
        <d v="2023-07-18T00:00:00" u="1"/>
        <d v="2023-07-19T00:00:00" u="1"/>
        <d v="2023-07-20T00:00:00" u="1"/>
        <d v="2023-07-21T00:00:00" u="1"/>
        <d v="2023-07-22T00:00:00" u="1"/>
        <d v="2023-07-23T00:00:00" u="1"/>
        <d v="2023-07-24T00:00:00" u="1"/>
        <d v="2023-07-25T00:00:00" u="1"/>
        <d v="2023-07-26T00:00:00" u="1"/>
        <d v="2023-07-27T00:00:00" u="1"/>
        <d v="2023-07-29T00:00:00" u="1"/>
        <d v="2023-07-30T00:00:00" u="1"/>
        <d v="2023-07-31T00:00:00" u="1"/>
        <d v="2023-08-01T00:00:00" u="1"/>
        <d v="2023-08-02T00:00:00" u="1"/>
        <d v="2023-08-03T00:00:00" u="1"/>
        <d v="2023-08-04T00:00:00" u="1"/>
        <d v="2023-08-05T00:00:00" u="1"/>
        <d v="2023-08-06T00:00:00" u="1"/>
        <d v="2023-08-07T00:00:00" u="1"/>
        <d v="2023-08-08T00:00:00" u="1"/>
        <d v="2023-08-09T00:00:00" u="1"/>
        <d v="2023-08-10T00:00:00" u="1"/>
        <d v="2023-08-11T00:00:00" u="1"/>
        <d v="2023-08-12T00:00:00" u="1"/>
        <d v="2023-08-13T00:00:00" u="1"/>
        <d v="2023-08-14T00:00:00" u="1"/>
        <d v="2023-08-15T00:00:00" u="1"/>
        <d v="2023-08-16T00:00:00" u="1"/>
        <d v="2023-08-17T00:00:00" u="1"/>
        <d v="2023-08-18T00:00:00" u="1"/>
        <d v="2023-08-19T00:00:00" u="1"/>
        <d v="2023-08-20T00:00:00" u="1"/>
        <d v="2023-08-21T00:00:00" u="1"/>
        <d v="2023-08-22T00:00:00" u="1"/>
        <d v="2023-08-23T00:00:00" u="1"/>
        <d v="2023-08-24T00:00:00" u="1"/>
        <d v="2023-08-25T00:00:00" u="1"/>
        <d v="2023-08-26T00:00:00" u="1"/>
        <d v="2023-08-27T00:00:00" u="1"/>
        <d v="2023-08-28T00:00:00" u="1"/>
        <d v="2023-08-29T00:00:00" u="1"/>
        <d v="2023-08-30T00:00:00" u="1"/>
        <d v="2023-08-31T00:00:00" u="1"/>
        <d v="2023-09-01T00:00:00" u="1"/>
        <d v="2023-09-02T00:00:00" u="1"/>
        <d v="2023-09-03T00:00:00" u="1"/>
        <d v="2023-09-04T00:00:00" u="1"/>
        <d v="2023-09-05T00:00:00" u="1"/>
        <d v="2023-09-06T00:00:00" u="1"/>
        <d v="2023-09-07T00:00:00" u="1"/>
        <d v="2023-09-08T00:00:00" u="1"/>
        <d v="2023-09-09T00:00:00" u="1"/>
        <d v="2023-09-10T00:00:00" u="1"/>
        <d v="2023-09-11T00:00:00" u="1"/>
        <d v="2023-09-12T00:00:00" u="1"/>
        <d v="2023-09-13T00:00:00" u="1"/>
        <d v="2023-09-14T00:00:00" u="1"/>
        <d v="2023-09-15T00:00:00" u="1"/>
        <d v="2023-09-16T00:00:00" u="1"/>
        <d v="2023-09-17T00:00:00" u="1"/>
        <d v="2023-09-18T00:00:00" u="1"/>
        <d v="2023-09-19T00:00:00" u="1"/>
        <d v="2023-09-20T00:00:00" u="1"/>
        <d v="2023-09-21T00:00:00" u="1"/>
        <d v="2023-09-22T00:00:00" u="1"/>
        <d v="2023-09-23T00:00:00" u="1"/>
        <d v="2023-09-24T00:00:00" u="1"/>
        <d v="2023-09-25T00:00:00" u="1"/>
        <d v="2023-09-26T00:00:00" u="1"/>
        <d v="2023-09-27T00:00:00" u="1"/>
        <d v="2023-09-28T00:00:00" u="1"/>
        <d v="2023-09-29T00:00:00" u="1"/>
        <d v="2023-09-30T00:00:00" u="1"/>
        <d v="2023-10-01T00:00:00" u="1"/>
        <d v="2023-10-02T00:00:00" u="1"/>
        <d v="2023-10-03T00:00:00" u="1"/>
        <d v="2023-10-05T00:00:00" u="1"/>
        <d v="2023-10-06T00:00:00" u="1"/>
        <d v="2023-10-07T00:00:00" u="1"/>
        <d v="2023-10-08T00:00:00" u="1"/>
        <d v="2023-10-09T00:00:00" u="1"/>
        <d v="2023-10-12T00:00:00" u="1"/>
        <d v="2023-10-13T00:00:00" u="1"/>
        <d v="2023-10-15T00:00:00" u="1"/>
        <d v="2023-10-17T00:00:00" u="1"/>
        <d v="2023-10-18T00:00:00" u="1"/>
        <d v="2023-10-19T00:00:00" u="1"/>
        <d v="2023-10-20T00:00:00" u="1"/>
        <d v="2023-10-21T00:00:00" u="1"/>
        <d v="2023-10-22T00:00:00" u="1"/>
        <d v="2023-10-23T00:00:00" u="1"/>
        <d v="2023-10-24T00:00:00" u="1"/>
        <d v="2023-10-25T00:00:00" u="1"/>
        <d v="2023-10-26T00:00:00" u="1"/>
        <d v="2023-10-27T00:00:00" u="1"/>
        <d v="2023-10-28T00:00:00" u="1"/>
        <d v="2023-10-29T00:00:00" u="1"/>
        <d v="2023-10-30T00:00:00" u="1"/>
        <d v="2023-10-31T00:00:00" u="1"/>
        <d v="2023-11-01T00:00:00" u="1"/>
        <d v="2023-11-02T00:00:00" u="1"/>
        <d v="2023-11-03T00:00:00" u="1"/>
        <d v="2023-11-04T00:00:00" u="1"/>
        <d v="2023-11-05T00:00:00" u="1"/>
        <d v="2023-11-06T00:00:00" u="1"/>
        <d v="2023-11-07T00:00:00" u="1"/>
        <d v="2023-11-08T00:00:00" u="1"/>
        <d v="2023-11-09T00:00:00" u="1"/>
        <d v="2023-11-11T00:00:00" u="1"/>
        <d v="2023-11-12T00:00:00" u="1"/>
        <d v="2023-11-13T00:00:00" u="1"/>
        <d v="2023-11-15T00:00:00" u="1"/>
        <d v="2023-11-17T00:00:00" u="1"/>
        <d v="2023-11-18T00:00:00" u="1"/>
        <d v="2023-11-19T00:00:00" u="1"/>
        <d v="2023-11-20T00:00:00" u="1"/>
        <d v="2023-11-21T00:00:00" u="1"/>
        <d v="2023-11-22T00:00:00" u="1"/>
        <d v="2023-11-23T00:00:00" u="1"/>
        <d v="2023-11-24T00:00:00" u="1"/>
        <d v="2023-11-25T00:00:00" u="1"/>
        <d v="2023-11-26T00:00:00" u="1"/>
        <d v="2023-11-27T00:00:00" u="1"/>
        <d v="2023-11-28T00:00:00" u="1"/>
        <d v="2023-11-29T00:00:00" u="1"/>
        <d v="2023-11-30T00:00:00" u="1"/>
        <d v="2023-12-02T00:00:00" u="1"/>
        <d v="2023-12-03T00:00:00" u="1"/>
        <d v="2023-12-04T00:00:00" u="1"/>
        <d v="2023-12-06T00:00:00" u="1"/>
        <d v="2023-12-07T00:00:00" u="1"/>
        <d v="2023-12-08T00:00:00" u="1"/>
        <d v="2023-12-09T00:00:00" u="1"/>
        <d v="2023-12-12T00:00:00" u="1"/>
        <d v="2023-12-13T00:00:00" u="1"/>
        <d v="2023-12-17T00:00:00" u="1"/>
        <d v="2023-12-18T00:00:00" u="1"/>
        <d v="2023-12-20T00:00:00" u="1"/>
        <d v="2023-12-21T00:00:00" u="1"/>
        <d v="2023-12-24T00:00:00" u="1"/>
        <d v="2023-12-26T00:00:00" u="1"/>
        <d v="2023-12-27T00:00:00" u="1"/>
        <d v="2023-12-28T00:00:00" u="1"/>
        <d v="2023-12-29T00:00:00" u="1"/>
        <d v="2023-12-30T00:00:00" u="1"/>
        <d v="2024-01-01T00:00:00" u="1"/>
        <d v="2024-01-02T00:00:00" u="1"/>
        <d v="2024-01-03T00:00:00" u="1"/>
        <d v="2024-01-04T00:00:00" u="1"/>
        <d v="2024-01-05T00:00:00" u="1"/>
        <d v="2024-01-06T00:00:00" u="1"/>
        <d v="2024-01-07T00:00:00" u="1"/>
        <d v="2024-01-08T00:00:00" u="1"/>
        <d v="2024-01-09T00:00:00" u="1"/>
        <d v="2024-01-10T00:00:00" u="1"/>
        <d v="2024-01-11T00:00:00" u="1"/>
        <d v="2024-01-12T00:00:00" u="1"/>
        <d v="2024-01-13T00:00:00" u="1"/>
        <d v="2024-01-14T00:00:00" u="1"/>
        <d v="2024-01-15T00:00:00" u="1"/>
        <d v="2024-01-16T00:00:00" u="1"/>
        <d v="2024-01-17T00:00:00" u="1"/>
        <d v="2024-01-18T00:00:00" u="1"/>
        <d v="2024-01-19T00:00:00" u="1"/>
        <d v="2024-01-20T00:00:00" u="1"/>
        <d v="2024-01-21T00:00:00" u="1"/>
        <d v="2024-01-22T00:00:00" u="1"/>
        <d v="2024-01-23T00:00:00" u="1"/>
        <d v="2024-01-24T00:00:00" u="1"/>
        <d v="2024-01-25T00:00:00" u="1"/>
        <d v="2024-01-26T00:00:00" u="1"/>
        <d v="2024-01-27T00:00:00" u="1"/>
        <d v="2024-01-28T00:00:00" u="1"/>
        <d v="2024-01-29T00:00:00" u="1"/>
        <d v="2024-01-30T00:00:00" u="1"/>
        <d v="2024-01-31T00:00:00" u="1"/>
        <d v="2024-02-01T00:00:00" u="1"/>
        <d v="2024-02-02T00:00:00" u="1"/>
        <d v="2024-02-03T00:00:00" u="1"/>
        <d v="2024-02-04T00:00:00" u="1"/>
        <d v="2024-02-05T00:00:00" u="1"/>
        <d v="2024-02-06T00:00:00" u="1"/>
        <d v="2024-02-07T00:00:00" u="1"/>
        <d v="2024-02-08T00:00:00" u="1"/>
        <d v="2024-02-09T00:00:00" u="1"/>
        <d v="2024-02-10T00:00:00" u="1"/>
        <d v="2024-02-11T00:00:00" u="1"/>
        <d v="2024-02-12T00:00:00" u="1"/>
        <d v="2024-02-13T00:00:00" u="1"/>
        <d v="2024-02-14T00:00:00" u="1"/>
        <d v="2024-02-15T00:00:00" u="1"/>
        <d v="2024-02-16T00:00:00" u="1"/>
        <d v="2024-02-17T00:00:00" u="1"/>
        <d v="2024-02-18T00:00:00" u="1"/>
        <d v="2024-02-19T00:00:00" u="1"/>
        <d v="2024-02-20T00:00:00" u="1"/>
        <d v="2024-02-21T00:00:00" u="1"/>
        <d v="2024-02-22T00:00:00" u="1"/>
        <d v="2024-02-23T00:00:00" u="1"/>
        <d v="2024-02-24T00:00:00" u="1"/>
        <d v="2024-02-25T00:00:00" u="1"/>
        <d v="2024-02-26T00:00:00" u="1"/>
        <d v="2024-02-27T00:00:00" u="1"/>
        <d v="2024-02-28T00:00:00" u="1"/>
        <d v="2024-02-29T00:00:00" u="1"/>
        <d v="2024-03-01T00:00:00" u="1"/>
        <d v="2024-03-02T00:00:00" u="1"/>
        <d v="2024-03-03T00:00:00" u="1"/>
        <d v="2024-03-04T00:00:00" u="1"/>
        <d v="2024-03-05T00:00:00" u="1"/>
        <d v="2024-03-06T00:00:00" u="1"/>
        <d v="2024-03-07T00:00:00" u="1"/>
        <d v="2024-03-09T00:00:00" u="1"/>
        <d v="2024-03-10T00:00:00" u="1"/>
        <d v="2024-03-11T00:00:00" u="1"/>
        <d v="2024-03-12T00:00:00" u="1"/>
        <d v="2024-03-13T00:00:00" u="1"/>
        <d v="2024-03-14T00:00:00" u="1"/>
        <d v="2024-03-15T00:00:00" u="1"/>
        <d v="2024-03-16T00:00:00" u="1"/>
        <d v="2024-03-17T00:00:00" u="1"/>
        <d v="2024-03-18T00:00:00" u="1"/>
        <d v="2024-03-19T00:00:00" u="1"/>
        <d v="2024-03-20T00:00:00" u="1"/>
        <d v="2024-03-21T00:00:00" u="1"/>
        <d v="2024-03-22T00:00:00" u="1"/>
        <d v="2024-03-23T00:00:00" u="1"/>
        <d v="2024-03-24T00:00:00" u="1"/>
        <d v="2024-03-25T00:00:00" u="1"/>
        <d v="2024-03-26T00:00:00" u="1"/>
        <d v="2024-03-27T00:00:00" u="1"/>
        <d v="2024-03-28T00:00:00" u="1"/>
        <d v="2024-03-29T00:00:00" u="1"/>
        <d v="2024-03-30T00:00:00" u="1"/>
        <d v="2024-03-31T00:00:00" u="1"/>
        <d v="2024-04-01T00:00:00" u="1"/>
        <d v="2024-04-02T00:00:00" u="1"/>
        <d v="2024-04-03T00:00:00" u="1"/>
        <d v="2024-04-04T00:00:00" u="1"/>
        <d v="2024-04-05T00:00:00" u="1"/>
        <d v="2024-04-06T00:00:00" u="1"/>
        <d v="2024-04-07T00:00:00" u="1"/>
        <d v="2024-04-08T00:00:00" u="1"/>
        <d v="2024-04-09T00:00:00" u="1"/>
        <d v="2024-04-10T00:00:00" u="1"/>
        <d v="2024-04-11T00:00:00" u="1"/>
        <d v="2024-04-12T00:00:00" u="1"/>
        <d v="2024-04-13T00:00:00" u="1"/>
        <d v="2024-04-14T00:00:00" u="1"/>
        <d v="2024-04-15T00:00:00" u="1"/>
        <d v="2024-04-16T00:00:00" u="1"/>
        <d v="2024-04-17T00:00:00" u="1"/>
        <d v="2024-04-18T00:00:00" u="1"/>
        <d v="2024-04-19T00:00:00" u="1"/>
        <d v="2024-04-20T00:00:00" u="1"/>
        <d v="2024-04-21T00:00:00" u="1"/>
        <d v="2024-04-22T00:00:00" u="1"/>
        <d v="2024-04-23T00:00:00" u="1"/>
        <d v="2024-04-24T00:00:00" u="1"/>
        <d v="2024-04-25T00:00:00" u="1"/>
        <d v="2024-04-26T00:00:00" u="1"/>
        <d v="2024-04-27T00:00:00" u="1"/>
        <d v="2024-04-28T00:00:00" u="1"/>
        <d v="2024-04-29T00:00:00" u="1"/>
        <d v="2024-04-30T00:00:00" u="1"/>
        <d v="2024-05-01T00:00:00" u="1"/>
        <d v="2024-05-02T00:00:00" u="1"/>
        <d v="2024-05-03T00:00:00" u="1"/>
        <d v="2024-05-04T00:00:00" u="1"/>
        <d v="2024-05-05T00:00:00" u="1"/>
        <d v="2024-05-06T00:00:00" u="1"/>
        <d v="2024-05-07T00:00:00" u="1"/>
        <d v="2024-05-08T00:00:00" u="1"/>
        <d v="2024-05-09T00:00:00" u="1"/>
        <d v="2024-05-10T00:00:00" u="1"/>
        <d v="2024-05-11T00:00:00" u="1"/>
        <d v="2024-05-12T00:00:00" u="1"/>
        <d v="2024-05-13T00:00:00" u="1"/>
        <d v="2024-05-14T00:00:00" u="1"/>
        <d v="2024-05-15T00:00:00" u="1"/>
        <d v="2024-05-16T00:00:00" u="1"/>
        <d v="2024-05-17T00:00:00" u="1"/>
        <d v="2024-05-18T00:00:00" u="1"/>
        <d v="2024-05-19T00:00:00" u="1"/>
        <d v="2024-05-20T00:00:00" u="1"/>
        <d v="2024-05-21T00:00:00" u="1"/>
        <d v="2024-05-22T00:00:00" u="1"/>
        <d v="2024-05-23T00:00:00" u="1"/>
        <d v="2024-05-24T00:00:00" u="1"/>
        <d v="2024-05-25T00:00:00" u="1"/>
        <d v="2024-05-26T00:00:00" u="1"/>
        <d v="2024-05-27T00:00:00" u="1"/>
        <d v="2024-05-28T00:00:00" u="1"/>
        <d v="2024-05-29T00:00:00" u="1"/>
        <d v="2024-05-30T00:00:00" u="1"/>
        <d v="2024-05-31T00:00:00" u="1"/>
        <d v="2024-06-01T00:00:00" u="1"/>
        <d v="2024-06-02T00:00:00" u="1"/>
        <d v="2024-06-03T00:00:00" u="1"/>
        <d v="2024-06-04T00:00:00" u="1"/>
        <d v="2024-06-05T00:00:00" u="1"/>
        <d v="2024-06-08T00:00:00" u="1"/>
        <d v="2024-06-09T00:00:00" u="1"/>
        <d v="2024-06-10T00:00:00" u="1"/>
        <d v="2024-06-11T00:00:00" u="1"/>
        <d v="2024-06-12T00:00:00" u="1"/>
        <d v="2024-06-13T00:00:00" u="1"/>
        <d v="2024-06-14T00:00:00" u="1"/>
        <d v="2024-06-15T00:00:00" u="1"/>
        <d v="2024-06-16T00:00:00" u="1"/>
        <d v="2024-06-17T00:00:00" u="1"/>
        <d v="2024-06-18T00:00:00" u="1"/>
        <d v="2024-06-19T00:00:00" u="1"/>
        <d v="2024-06-20T00:00:00" u="1"/>
        <d v="2024-06-21T00:00:00" u="1"/>
        <d v="2024-06-22T00:00:00" u="1"/>
        <d v="2024-06-23T00:00:00" u="1"/>
        <d v="2024-06-24T00:00:00" u="1"/>
        <d v="2024-06-25T00:00:00" u="1"/>
        <d v="2024-06-26T00:00:00" u="1"/>
        <d v="2024-06-27T00:00:00" u="1"/>
        <d v="2024-06-28T00:00:00" u="1"/>
        <d v="2024-06-29T00:00:00" u="1"/>
        <d v="2024-06-30T00:00:00" u="1"/>
        <d v="2024-07-01T00:00:00" u="1"/>
        <d v="2024-07-02T00:00:00" u="1"/>
        <d v="2024-07-03T00:00:00" u="1"/>
        <d v="2024-07-04T00:00:00" u="1"/>
        <d v="2024-07-05T00:00:00" u="1"/>
        <d v="2024-07-06T00:00:00" u="1"/>
        <d v="2024-07-07T00:00:00" u="1"/>
        <d v="2024-07-08T00:00:00" u="1"/>
        <d v="2024-07-09T00:00:00" u="1"/>
        <d v="2024-07-10T00:00:00" u="1"/>
        <d v="2024-07-11T00:00:00" u="1"/>
        <d v="2024-07-12T00:00:00" u="1"/>
        <d v="2024-07-13T00:00:00" u="1"/>
        <d v="2024-07-14T00:00:00" u="1"/>
        <d v="2024-07-15T00:00:00" u="1"/>
        <d v="2024-07-16T00:00:00" u="1"/>
        <d v="2024-07-17T00:00:00" u="1"/>
        <d v="2024-07-18T00:00:00" u="1"/>
        <d v="2024-07-19T00:00:00" u="1"/>
        <d v="2024-07-20T00:00:00" u="1"/>
        <d v="2024-07-21T00:00:00" u="1"/>
        <d v="2024-07-22T00:00:00" u="1"/>
        <d v="2024-07-23T00:00:00" u="1"/>
        <d v="2024-07-24T00:00:00" u="1"/>
        <d v="2024-07-25T00:00:00" u="1"/>
        <d v="2024-07-26T00:00:00" u="1"/>
        <d v="2024-07-27T00:00:00" u="1"/>
        <d v="2024-07-28T00:00:00" u="1"/>
        <d v="2024-07-29T00:00:00" u="1"/>
        <d v="2024-07-30T00:00:00" u="1"/>
        <d v="2024-08-01T00:00:00" u="1"/>
        <d v="2024-08-02T00:00:00" u="1"/>
        <d v="2024-08-03T00:00:00" u="1"/>
        <d v="2024-08-04T00:00:00" u="1"/>
        <d v="2024-08-06T00:00:00" u="1"/>
        <d v="2024-08-08T00:00:00" u="1"/>
        <d v="2024-08-09T00:00:00" u="1"/>
        <d v="2024-08-10T00:00:00" u="1"/>
        <d v="2024-08-11T00:00:00" u="1"/>
        <d v="2024-08-12T00:00:00" u="1"/>
        <d v="2024-08-13T00:00:00" u="1"/>
        <d v="2024-08-14T00:00:00" u="1"/>
        <d v="2024-08-15T00:00:00" u="1"/>
        <d v="2024-08-16T00:00:00" u="1"/>
        <d v="2024-08-17T00:00:00" u="1"/>
        <d v="2024-08-18T00:00:00" u="1"/>
        <d v="2024-08-19T00:00:00" u="1"/>
        <d v="2024-08-20T00:00:00" u="1"/>
        <d v="2024-08-21T00:00:00" u="1"/>
        <d v="2024-08-22T00:00:00" u="1"/>
        <d v="2024-08-23T00:00:00" u="1"/>
        <d v="2024-08-24T00:00:00" u="1"/>
        <d v="2024-08-25T00:00:00" u="1"/>
        <d v="2024-08-26T00:00:00" u="1"/>
        <d v="2024-08-27T00:00:00" u="1"/>
        <d v="2024-08-28T00:00:00" u="1"/>
        <d v="2024-08-29T00:00:00" u="1"/>
        <d v="2024-08-30T00:00:00" u="1"/>
        <d v="2024-08-31T00:00:00" u="1"/>
        <d v="2024-09-01T00:00:00" u="1"/>
        <d v="2024-09-02T00:00:00" u="1"/>
        <d v="2024-09-03T00:00:00" u="1"/>
        <d v="2024-09-04T00:00:00" u="1"/>
        <d v="2024-09-05T00:00:00" u="1"/>
        <d v="2024-09-06T00:00:00" u="1"/>
        <d v="2024-09-07T00:00:00" u="1"/>
        <d v="2024-09-08T00:00:00" u="1"/>
        <d v="2024-09-09T00:00:00" u="1"/>
        <d v="2024-09-10T00:00:00" u="1"/>
        <d v="2024-09-11T00:00:00" u="1"/>
        <d v="2024-09-12T00:00:00" u="1"/>
        <d v="2024-09-13T00:00:00" u="1"/>
        <d v="2024-09-14T00:00:00" u="1"/>
        <d v="2024-09-15T00:00:00" u="1"/>
        <d v="2024-09-16T00:00:00" u="1"/>
        <d v="2024-09-17T00:00:00" u="1"/>
        <d v="2024-09-18T00:00:00" u="1"/>
        <d v="2024-09-19T00:00:00" u="1"/>
        <d v="2024-09-20T00:00:00" u="1"/>
        <d v="2024-09-21T00:00:00" u="1"/>
        <d v="2024-09-22T00:00:00" u="1"/>
        <d v="2024-09-23T00:00:00" u="1"/>
        <d v="2024-09-24T00:00:00" u="1"/>
        <d v="2024-09-25T00:00:00" u="1"/>
        <d v="2024-09-26T00:00:00" u="1"/>
        <d v="2024-09-27T00:00:00" u="1"/>
        <d v="2024-09-28T00:00:00" u="1"/>
        <d v="2024-09-29T00:00:00" u="1"/>
        <d v="2024-09-30T00:00:00" u="1"/>
        <d v="2024-10-01T00:00:00" u="1"/>
        <d v="2024-10-02T00:00:00" u="1"/>
        <d v="2024-10-03T00:00:00" u="1"/>
        <d v="2024-10-04T00:00:00" u="1"/>
        <d v="2024-10-05T00:00:00" u="1"/>
        <d v="2024-10-06T00:00:00" u="1"/>
        <d v="2024-10-07T00:00:00" u="1"/>
        <d v="2024-10-08T00:00:00" u="1"/>
        <d v="2024-10-09T00:00:00" u="1"/>
        <d v="2024-10-11T00:00:00" u="1"/>
        <d v="2024-10-12T00:00:00" u="1"/>
        <d v="2024-10-13T00:00:00" u="1"/>
        <d v="2024-10-15T00:00:00" u="1"/>
        <d v="2024-10-17T00:00:00" u="1"/>
        <d v="2024-10-18T00:00:00" u="1"/>
        <d v="2024-10-19T00:00:00" u="1"/>
        <d v="2024-10-20T00:00:00" u="1"/>
        <d v="2024-10-21T00:00:00" u="1"/>
        <d v="2024-10-22T00:00:00" u="1"/>
        <d v="2024-10-23T00:00:00" u="1"/>
        <d v="2024-10-24T00:00:00" u="1"/>
        <d v="2024-10-25T00:00:00" u="1"/>
        <d v="2024-10-26T00:00:00" u="1"/>
        <d v="2024-10-27T00:00:00" u="1"/>
        <d v="2024-10-28T00:00:00" u="1"/>
        <d v="2024-10-29T00:00:00" u="1"/>
        <d v="2024-10-30T00:00:00" u="1"/>
        <d v="2024-10-31T00:00:00" u="1"/>
        <d v="2024-11-01T00:00:00" u="1"/>
        <d v="2024-11-02T00:00:00" u="1"/>
        <d v="2024-11-03T00:00:00" u="1"/>
        <d v="2024-11-04T00:00:00" u="1"/>
        <d v="2024-11-05T00:00:00" u="1"/>
        <d v="2024-11-06T00:00:00" u="1"/>
        <d v="2024-11-07T00:00:00" u="1"/>
        <d v="2024-11-08T00:00:00" u="1"/>
        <d v="2024-11-09T00:00:00" u="1"/>
        <d v="2024-11-11T00:00:00" u="1"/>
        <d v="2024-11-12T00:00:00" u="1"/>
        <d v="2024-11-13T00:00:00" u="1"/>
        <d v="2024-11-15T00:00:00" u="1"/>
        <d v="2024-11-17T00:00:00" u="1"/>
        <d v="2024-11-18T00:00:00" u="1"/>
        <d v="2024-11-19T00:00:00" u="1"/>
        <d v="2024-11-20T00:00:00" u="1"/>
        <d v="2024-11-21T00:00:00" u="1"/>
        <d v="2024-11-22T00:00:00" u="1"/>
        <d v="2024-11-23T00:00:00" u="1"/>
        <d v="2024-11-24T00:00:00" u="1"/>
        <d v="2024-11-25T00:00:00" u="1"/>
        <d v="2024-11-26T00:00:00" u="1"/>
        <d v="2024-11-27T00:00:00" u="1"/>
        <d v="2024-11-28T00:00:00" u="1"/>
        <d v="2024-11-29T00:00:00" u="1"/>
        <d v="2024-11-30T00:00:00" u="1"/>
        <d v="2024-12-01T00:00:00" u="1"/>
        <d v="2024-12-02T00:00:00" u="1"/>
        <d v="2024-12-03T00:00:00" u="1"/>
        <d v="2024-12-04T00:00:00" u="1"/>
        <d v="2024-12-05T00:00:00" u="1"/>
        <d v="2024-12-06T00:00:00" u="1"/>
        <d v="2024-12-07T00:00:00" u="1"/>
        <d v="2024-12-08T00:00:00" u="1"/>
        <d v="2024-12-09T00:00:00" u="1"/>
        <d v="2024-12-11T00:00:00" u="1"/>
        <d v="2024-12-12T00:00:00" u="1"/>
        <d v="2024-12-13T00:00:00" u="1"/>
        <d v="2024-12-14T00:00:00" u="1"/>
        <d v="2024-12-15T00:00:00" u="1"/>
        <d v="2024-12-17T00:00:00" u="1"/>
        <d v="2024-12-18T00:00:00" u="1"/>
        <d v="2024-12-19T00:00:00" u="1"/>
        <d v="2024-12-20T00:00:00" u="1"/>
        <d v="2024-12-21T00:00:00" u="1"/>
        <d v="2024-12-22T00:00:00" u="1"/>
        <d v="2024-12-23T00:00:00" u="1"/>
        <d v="2024-12-24T00:00:00" u="1"/>
        <d v="2024-12-25T00:00:00" u="1"/>
        <d v="2024-12-26T00:00:00" u="1"/>
        <d v="2024-12-27T00:00:00" u="1"/>
        <d v="2024-12-28T00:00:00" u="1"/>
        <d v="2024-12-29T00:00:00" u="1"/>
        <d v="2024-12-30T00:00:00" u="1"/>
        <d v="2024-12-31T00:00:00" u="1"/>
        <d v="2025-01-01T00:00:00" u="1"/>
        <d v="2025-01-02T00:00:00" u="1"/>
        <d v="2025-01-03T00:00:00" u="1"/>
        <d v="2025-01-04T00:00:00" u="1"/>
        <d v="2025-01-05T00:00:00" u="1"/>
        <d v="2025-01-06T00:00:00" u="1"/>
        <d v="2025-01-07T00:00:00" u="1"/>
        <d v="2025-01-08T00:00:00" u="1"/>
        <d v="2025-01-09T00:00:00" u="1"/>
        <d v="2025-01-10T00:00:00" u="1"/>
        <d v="2025-01-11T00:00:00" u="1"/>
        <d v="2025-01-12T00:00:00" u="1"/>
        <d v="2025-01-13T00:00:00" u="1"/>
        <d v="2025-01-14T00:00:00" u="1"/>
        <d v="2025-01-15T00:00:00" u="1"/>
        <d v="2025-01-16T00:00:00" u="1"/>
        <d v="2025-01-17T00:00:00" u="1"/>
        <d v="2025-01-18T00:00:00" u="1"/>
        <d v="2025-01-19T00:00:00" u="1"/>
        <d v="2025-01-20T00:00:00" u="1"/>
        <d v="2025-01-21T00:00:00" u="1"/>
        <d v="2025-01-22T00:00:00" u="1"/>
        <d v="2025-01-23T00:00:00" u="1"/>
        <d v="2025-01-24T00:00:00" u="1"/>
        <d v="2025-01-25T00:00:00" u="1"/>
        <d v="2025-01-26T00:00:00" u="1"/>
        <d v="2025-01-27T00:00:00" u="1"/>
        <d v="2025-01-28T00:00:00" u="1"/>
        <d v="2025-01-29T00:00:00" u="1"/>
        <d v="2025-01-30T00:00:00" u="1"/>
        <d v="2025-01-31T00:00:00" u="1"/>
        <d v="2025-02-01T00:00:00" u="1"/>
        <d v="2025-02-02T00:00:00" u="1"/>
        <d v="2025-02-03T00:00:00" u="1"/>
        <d v="2025-02-04T00:00:00" u="1"/>
        <d v="2025-02-05T00:00:00" u="1"/>
        <d v="2025-02-06T00:00:00" u="1"/>
        <d v="2025-02-07T00:00:00" u="1"/>
        <d v="2025-02-08T00:00:00" u="1"/>
        <d v="2025-02-09T00:00:00" u="1"/>
        <d v="2025-02-10T00:00:00" u="1"/>
        <d v="2025-02-11T00:00:00" u="1"/>
        <d v="2025-02-12T00:00:00" u="1"/>
        <d v="2025-02-13T00:00:00" u="1"/>
        <d v="2025-02-14T00:00:00" u="1"/>
        <d v="2025-02-15T00:00:00" u="1"/>
        <d v="2025-02-16T00:00:00" u="1"/>
        <d v="2025-02-17T00:00:00" u="1"/>
        <d v="2025-02-18T00:00:00" u="1"/>
        <d v="2025-02-19T00:00:00" u="1"/>
        <d v="2025-02-20T00:00:00" u="1"/>
        <d v="2025-02-21T00:00:00" u="1"/>
        <d v="2025-02-22T00:00:00" u="1"/>
        <d v="2025-02-23T00:00:00" u="1"/>
        <d v="2025-02-24T00:00:00" u="1"/>
        <d v="2025-02-25T00:00:00" u="1"/>
        <d v="2025-02-26T00:00:00" u="1"/>
        <d v="2025-02-27T00:00:00" u="1"/>
        <d v="2025-02-28T00:00:00" u="1"/>
        <d v="2025-03-01T00:00:00" u="1"/>
        <d v="2025-03-02T00:00:00" u="1"/>
        <d v="2025-03-03T00:00:00" u="1"/>
        <d v="2025-03-04T00:00:00" u="1"/>
        <d v="2025-03-05T00:00:00" u="1"/>
        <d v="2025-03-06T00:00:00" u="1"/>
        <d v="2025-03-07T00:00:00" u="1"/>
        <d v="2025-03-08T00:00:00" u="1"/>
        <d v="2025-03-09T00:00:00" u="1"/>
        <d v="2025-03-10T00:00:00" u="1"/>
        <d v="2025-03-11T00:00:00" u="1"/>
        <d v="2025-03-12T00:00:00" u="1"/>
        <d v="2025-03-13T00:00:00" u="1"/>
        <d v="2025-03-14T00:00:00" u="1"/>
        <d v="2025-03-15T00:00:00" u="1"/>
        <d v="2025-03-16T00:00:00" u="1"/>
        <d v="2025-03-17T00:00:00" u="1"/>
        <d v="2025-03-18T00:00:00" u="1"/>
        <d v="2025-03-19T00:00:00" u="1"/>
        <d v="2025-03-20T00:00:00" u="1"/>
        <d v="2025-03-21T00:00:00" u="1"/>
        <d v="2025-03-22T00:00:00" u="1"/>
        <d v="2025-03-23T00:00:00" u="1"/>
        <d v="2025-03-24T00:00:00" u="1"/>
        <d v="2025-03-25T00:00:00" u="1"/>
        <d v="2025-03-26T00:00:00" u="1"/>
        <d v="2025-03-27T00:00:00" u="1"/>
        <d v="2025-03-28T00:00:00" u="1"/>
        <d v="2025-03-29T00:00:00" u="1"/>
        <d v="2025-03-30T00:00:00" u="1"/>
        <d v="2025-03-31T00:00:00" u="1"/>
        <d v="2025-04-01T00:00:00" u="1"/>
        <d v="2025-04-02T00:00:00" u="1"/>
        <d v="2025-04-03T00:00:00" u="1"/>
        <d v="2025-04-04T00:00:00" u="1"/>
        <d v="2025-04-05T00:00:00" u="1"/>
        <d v="2025-04-06T00:00:00" u="1"/>
        <d v="2025-04-07T00:00:00" u="1"/>
        <d v="2025-04-08T00:00:00" u="1"/>
        <d v="2025-04-09T00:00:00" u="1"/>
        <d v="2025-04-10T00:00:00" u="1"/>
        <d v="2025-04-11T00:00:00" u="1"/>
        <d v="2025-04-12T00:00:00" u="1"/>
        <d v="2025-04-13T00:00:00" u="1"/>
        <d v="2025-04-14T00:00:00" u="1"/>
        <d v="2025-04-15T00:00:00" u="1"/>
        <d v="2025-04-16T00:00:00" u="1"/>
        <d v="2025-04-17T00:00:00" u="1"/>
        <d v="2025-04-18T00:00:00" u="1"/>
        <d v="2025-04-19T00:00:00" u="1"/>
        <d v="2025-04-20T00:00:00" u="1"/>
        <d v="2025-04-21T00:00:00" u="1"/>
        <d v="2025-04-22T00:00:00" u="1"/>
        <d v="2025-04-23T00:00:00" u="1"/>
        <d v="2025-04-24T00:00:00" u="1"/>
        <d v="2025-04-25T00:00:00" u="1"/>
        <d v="2025-04-26T00:00:00" u="1"/>
        <d v="2025-04-27T00:00:00" u="1"/>
        <d v="2025-04-28T00:00:00" u="1"/>
        <d v="2025-04-29T00:00:00" u="1"/>
        <d v="2025-04-30T00:00:00" u="1"/>
        <d v="2025-05-01T00:00:00" u="1"/>
        <d v="2025-05-02T00:00:00" u="1"/>
        <d v="2025-05-03T00:00:00" u="1"/>
        <d v="2025-05-04T00:00:00" u="1"/>
        <d v="2025-05-05T00:00:00" u="1"/>
        <d v="2025-05-06T00:00:00" u="1"/>
        <d v="2025-05-07T00:00:00" u="1"/>
        <d v="2025-05-08T00:00:00" u="1"/>
        <d v="2025-05-09T00:00:00" u="1"/>
        <d v="2025-05-10T00:00:00" u="1"/>
        <d v="2025-05-11T00:00:00" u="1"/>
        <d v="2025-05-12T00:00:00" u="1"/>
        <d v="2025-05-13T00:00:00" u="1"/>
        <d v="2025-05-14T00:00:00" u="1"/>
        <d v="2025-05-15T00:00:00" u="1"/>
        <d v="2025-05-16T00:00:00" u="1"/>
        <d v="2025-05-17T00:00:00" u="1"/>
        <d v="2025-05-18T00:00:00" u="1"/>
        <d v="2025-05-19T00:00:00" u="1"/>
        <d v="2025-05-20T00:00:00" u="1"/>
        <d v="2025-05-21T00:00:00" u="1"/>
        <d v="2025-05-22T00:00:00" u="1"/>
        <d v="2025-05-23T00:00:00" u="1"/>
        <d v="2025-05-24T00:00:00" u="1"/>
        <d v="2025-05-25T00:00:00" u="1"/>
        <d v="2025-05-26T00:00:00" u="1"/>
        <d v="2025-05-27T00:00:00" u="1"/>
        <d v="2025-05-28T00:00:00" u="1"/>
        <d v="2025-05-29T00:00:00" u="1"/>
        <d v="2025-05-30T00:00:00" u="1"/>
        <d v="2025-05-31T00:00:00" u="1"/>
        <d v="2025-06-01T00:00:00" u="1"/>
        <d v="2025-06-02T00:00:00" u="1"/>
        <d v="2025-06-03T00:00:00" u="1"/>
        <d v="2025-06-04T00:00:00" u="1"/>
        <d v="2025-06-05T00:00:00" u="1"/>
        <d v="2025-06-06T00:00:00" u="1"/>
        <d v="2025-06-07T00:00:00" u="1"/>
        <d v="2025-06-08T00:00:00" u="1"/>
        <d v="2025-06-09T00:00:00" u="1"/>
        <d v="2025-06-10T00:00:00" u="1"/>
        <d v="2025-06-11T00:00:00" u="1"/>
        <d v="2025-06-12T00:00:00" u="1"/>
        <d v="2025-06-13T00:00:00" u="1"/>
        <d v="2024-07-31T00:00:00" u="1"/>
        <d v="2024-08-05T00:00:00" u="1"/>
        <d v="2024-08-07T00:00:00" u="1"/>
        <d v="2025-06-14T00:00:00" u="1"/>
        <d v="2025-06-15T00:00:00" u="1"/>
      </sharedItems>
      <fieldGroup par="10"/>
    </cacheField>
    <cacheField name="Category" numFmtId="0">
      <sharedItems count="4">
        <s v="Xərc"/>
        <s v="Gəlir"/>
        <s v="Expense" u="1"/>
        <s v="Revenue" u="1"/>
      </sharedItems>
    </cacheField>
    <cacheField name="Rev/Exp ID" numFmtId="0">
      <sharedItems/>
    </cacheField>
    <cacheField name="Amount" numFmtId="0">
      <sharedItems containsSemiMixedTypes="0" containsString="0" containsNumber="1" containsInteger="1" minValue="1" maxValue="3000"/>
    </cacheField>
    <cacheField name="Note" numFmtId="0">
      <sharedItems/>
    </cacheField>
    <cacheField name="Maddə" numFmtId="0">
      <sharedItems count="31">
        <s v="Təsərrüfat xərci"/>
        <s v="Xidmət haqqları"/>
        <s v="Saxlanma xərcləri"/>
        <s v="Qida"/>
        <s v="Ezamiyyət xərcləri"/>
        <s v="Qaz pulu"/>
        <s v="İşıq pulu"/>
        <s v="Su pulu"/>
        <s v="Xidmət"/>
        <s v="Bələdiyyə"/>
        <s v="Telefon / rabitə"/>
        <s v="İnternet"/>
        <s v="Sair ödəmələr"/>
        <s v="Dəftərxana xərcləri"/>
        <s v="Qeyri-qida"/>
        <s v="Wolt"/>
        <s v="ƏDV"/>
        <s v="Bank xidmət haqqı"/>
        <s v="Bolt"/>
        <s v="Sadələşdirilmiş vergi"/>
        <s v="Sığorta"/>
        <s v="İcarə"/>
        <s v="DSMF"/>
        <s v="Əmlak vergisi"/>
        <s v="Gəlir vergisi"/>
        <s v="Improvements to long-term property" u="1"/>
        <s v="Political contributions" u="1"/>
        <s v="Government-imposed fines" u="1"/>
        <s v="Federal income, gift and estate taxes" u="1"/>
        <s v="Lobbying expenses" u="1"/>
        <s v="Advertising expenses" u="1"/>
      </sharedItems>
    </cacheField>
    <cacheField name="Maddə Kateqoriyası" numFmtId="0">
      <sharedItems count="28">
        <s v="Digər xərclər"/>
        <s v="Kommunal"/>
        <s v="Satış"/>
        <s v="Xidmət"/>
        <s v="Daşınma"/>
        <s v="Büdcə xərcləri"/>
        <s v="İcarə"/>
        <s v="Insurance" u="1"/>
        <s v="Education" u="1"/>
        <s v="Casualty losses" u="1"/>
        <s v="Charitable contributions" u="1"/>
        <s v="Gifts" u="1"/>
        <s v="Postage and mailing" u="1"/>
        <s v="Payroll" u="1"/>
        <s v="Travel expenses" u="1"/>
        <s v="Tuition reimbursement" u="1"/>
        <s v="Health insurance" u="1"/>
        <s v="Office supplies" u="1"/>
        <s v="Materials" u="1"/>
        <s v="San" u="1"/>
        <s v="Kam" u="1"/>
        <s v="sd" u="1"/>
        <s v="asd" u="1"/>
        <s v="rew" u="1"/>
        <s v="fg" u="1"/>
        <s v="sdsd" u="1"/>
        <s v="qwe" u="1"/>
        <s v="fds" u="1"/>
      </sharedItems>
    </cacheField>
    <cacheField name="Months (Date)" numFmtId="0" databaseField="0">
      <fieldGroup base="1">
        <rangePr groupBy="months" startDate="2020-02-09T00:00:00" endDate="2023-12-16T00:00:00"/>
        <groupItems count="14">
          <s v="&lt;09.02.2020"/>
          <s v="yan"/>
          <s v="fev"/>
          <s v="mar"/>
          <s v="apr"/>
          <s v="may"/>
          <s v="iyn"/>
          <s v="iyl"/>
          <s v="avq"/>
          <s v="sen"/>
          <s v="okt"/>
          <s v="noy"/>
          <s v="dek"/>
          <s v="&gt;16.12.2023"/>
        </groupItems>
      </fieldGroup>
    </cacheField>
    <cacheField name="Quarters (Date)" numFmtId="0" databaseField="0">
      <fieldGroup base="1">
        <rangePr groupBy="quarters" startDate="2020-02-09T00:00:00" endDate="2023-12-16T00:00:00"/>
        <groupItems count="6">
          <s v="&lt;09.02.2020"/>
          <s v="Qtr1"/>
          <s v="Qtr2"/>
          <s v="Qtr3"/>
          <s v="Qtr4"/>
          <s v="&gt;16.12.2023"/>
        </groupItems>
      </fieldGroup>
    </cacheField>
    <cacheField name="Years (Date)" numFmtId="0" databaseField="0">
      <fieldGroup base="1">
        <rangePr groupBy="years" startDate="2020-02-09T00:00:00" endDate="2023-12-16T00:00:00"/>
        <groupItems count="6">
          <s v="&lt;09.02.2020"/>
          <s v="2020"/>
          <s v="2021"/>
          <s v="2022"/>
          <s v="2023"/>
          <s v="&gt;16.12.2023"/>
        </groupItems>
      </fieldGroup>
    </cacheField>
  </cacheFields>
  <extLst>
    <ext xmlns:x14="http://schemas.microsoft.com/office/spreadsheetml/2009/9/main" uri="{725AE2AE-9491-48be-B2B4-4EB974FC3084}">
      <x14:pivotCacheDefinition pivotCacheId="1959595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s v="main-20231202-1336412"/>
    <x v="0"/>
    <x v="0"/>
    <s v="revexp-20231202-105226"/>
    <n v="43"/>
    <s v="-"/>
    <x v="0"/>
    <x v="0"/>
  </r>
  <r>
    <s v="main-20231202-1336413"/>
    <x v="1"/>
    <x v="0"/>
    <s v="revexp-20231202-105224"/>
    <n v="1"/>
    <s v="-"/>
    <x v="1"/>
    <x v="1"/>
  </r>
  <r>
    <s v="main-20231202-1336414"/>
    <x v="2"/>
    <x v="0"/>
    <s v="revexp-20231202-105225"/>
    <n v="9"/>
    <s v="-"/>
    <x v="2"/>
    <x v="0"/>
  </r>
  <r>
    <s v="main-20231202-1336415"/>
    <x v="3"/>
    <x v="1"/>
    <s v="revexp-20231202-105237"/>
    <n v="7"/>
    <s v="-"/>
    <x v="3"/>
    <x v="2"/>
  </r>
  <r>
    <s v="main-20231202-1336416"/>
    <x v="4"/>
    <x v="0"/>
    <s v="revexp-20231202-105229"/>
    <n v="19"/>
    <s v="-"/>
    <x v="4"/>
    <x v="0"/>
  </r>
  <r>
    <s v="main-20231202-1336417"/>
    <x v="5"/>
    <x v="0"/>
    <s v="revexp-20231202-105220"/>
    <n v="24"/>
    <s v="-"/>
    <x v="5"/>
    <x v="1"/>
  </r>
  <r>
    <s v="main-20231202-1336418"/>
    <x v="6"/>
    <x v="0"/>
    <s v="revexp-20231202-105218"/>
    <n v="21"/>
    <s v="-"/>
    <x v="6"/>
    <x v="1"/>
  </r>
  <r>
    <s v="main-20231202-1336419"/>
    <x v="7"/>
    <x v="0"/>
    <s v="revexp-20231202-105219"/>
    <n v="4"/>
    <s v="-"/>
    <x v="7"/>
    <x v="1"/>
  </r>
  <r>
    <s v="main-20231202-1336420"/>
    <x v="8"/>
    <x v="1"/>
    <s v="revexp-20231202-105241"/>
    <n v="162"/>
    <s v="-"/>
    <x v="8"/>
    <x v="3"/>
  </r>
  <r>
    <s v="main-20231202-1336421"/>
    <x v="9"/>
    <x v="0"/>
    <s v="revexp-20231202-105226"/>
    <n v="28"/>
    <s v="-"/>
    <x v="0"/>
    <x v="0"/>
  </r>
  <r>
    <s v="main-20231202-1336422"/>
    <x v="10"/>
    <x v="0"/>
    <s v="revexp-20231202-105225"/>
    <n v="21"/>
    <s v="-"/>
    <x v="2"/>
    <x v="0"/>
  </r>
  <r>
    <s v="main-20231202-1336423"/>
    <x v="11"/>
    <x v="1"/>
    <s v="revexp-20231202-105237"/>
    <n v="378"/>
    <s v="-"/>
    <x v="3"/>
    <x v="2"/>
  </r>
  <r>
    <s v="main-20231202-1336424"/>
    <x v="12"/>
    <x v="0"/>
    <s v="revexp-20231202-105221"/>
    <n v="25"/>
    <s v="-"/>
    <x v="9"/>
    <x v="1"/>
  </r>
  <r>
    <s v="main-20231202-1336425"/>
    <x v="13"/>
    <x v="0"/>
    <s v="revexp-20231202-105223"/>
    <n v="10"/>
    <s v="-"/>
    <x v="10"/>
    <x v="1"/>
  </r>
  <r>
    <s v="main-20231202-1336426"/>
    <x v="14"/>
    <x v="0"/>
    <s v="revexp-20231202-105222"/>
    <n v="5"/>
    <s v="-"/>
    <x v="11"/>
    <x v="1"/>
  </r>
  <r>
    <s v="main-20231202-1336427"/>
    <x v="15"/>
    <x v="0"/>
    <s v="revexp-20231202-105228"/>
    <n v="36"/>
    <s v="-"/>
    <x v="12"/>
    <x v="0"/>
  </r>
  <r>
    <s v="main-20231202-1336428"/>
    <x v="16"/>
    <x v="0"/>
    <s v="revexp-20231202-105227"/>
    <n v="19"/>
    <s v="-"/>
    <x v="13"/>
    <x v="0"/>
  </r>
  <r>
    <s v="main-20231202-1336429"/>
    <x v="17"/>
    <x v="1"/>
    <s v="revexp-20231202-105238"/>
    <n v="136"/>
    <s v="-"/>
    <x v="14"/>
    <x v="2"/>
  </r>
  <r>
    <s v="main-20231202-1336430"/>
    <x v="18"/>
    <x v="1"/>
    <s v="revexp-20231202-105240"/>
    <n v="336"/>
    <s v="-"/>
    <x v="15"/>
    <x v="4"/>
  </r>
  <r>
    <s v="main-20231202-1336431"/>
    <x v="19"/>
    <x v="0"/>
    <s v="revexp-20231202-105220"/>
    <n v="22"/>
    <s v="-"/>
    <x v="5"/>
    <x v="1"/>
  </r>
  <r>
    <s v="main-20231202-1336432"/>
    <x v="20"/>
    <x v="0"/>
    <s v="revexp-20231202-105233"/>
    <n v="37"/>
    <s v="-"/>
    <x v="16"/>
    <x v="5"/>
  </r>
  <r>
    <s v="main-20231202-1336433"/>
    <x v="21"/>
    <x v="0"/>
    <s v="revexp-20231202-105225"/>
    <n v="45"/>
    <s v="-"/>
    <x v="2"/>
    <x v="0"/>
  </r>
  <r>
    <s v="main-20231202-1336434"/>
    <x v="22"/>
    <x v="1"/>
    <s v="revexp-20231202-105241"/>
    <n v="306"/>
    <s v="-"/>
    <x v="8"/>
    <x v="3"/>
  </r>
  <r>
    <s v="main-20231202-1336435"/>
    <x v="23"/>
    <x v="0"/>
    <s v="revexp-20231202-105221"/>
    <n v="39"/>
    <s v="-"/>
    <x v="9"/>
    <x v="1"/>
  </r>
  <r>
    <s v="main-20231202-1336436"/>
    <x v="24"/>
    <x v="0"/>
    <s v="revexp-20231202-105233"/>
    <n v="9"/>
    <s v="-"/>
    <x v="16"/>
    <x v="5"/>
  </r>
  <r>
    <s v="main-20231202-1336437"/>
    <x v="25"/>
    <x v="0"/>
    <s v="revexp-20231202-105222"/>
    <n v="7"/>
    <s v="-"/>
    <x v="11"/>
    <x v="1"/>
  </r>
  <r>
    <s v="main-20231202-1336438"/>
    <x v="26"/>
    <x v="0"/>
    <s v="revexp-20231202-105221"/>
    <n v="44"/>
    <s v="-"/>
    <x v="9"/>
    <x v="1"/>
  </r>
  <r>
    <s v="main-20231202-1336439"/>
    <x v="27"/>
    <x v="1"/>
    <s v="revexp-20231202-105241"/>
    <n v="437"/>
    <s v="-"/>
    <x v="8"/>
    <x v="3"/>
  </r>
  <r>
    <s v="main-20231202-1336440"/>
    <x v="28"/>
    <x v="1"/>
    <s v="revexp-20231202-105240"/>
    <n v="155"/>
    <s v="-"/>
    <x v="15"/>
    <x v="4"/>
  </r>
  <r>
    <s v="main-20231202-1336441"/>
    <x v="29"/>
    <x v="0"/>
    <s v="revexp-20231202-105230"/>
    <n v="35"/>
    <s v="-"/>
    <x v="17"/>
    <x v="0"/>
  </r>
  <r>
    <s v="main-20231202-1336442"/>
    <x v="30"/>
    <x v="0"/>
    <s v="revexp-20231202-105228"/>
    <n v="37"/>
    <s v="-"/>
    <x v="12"/>
    <x v="0"/>
  </r>
  <r>
    <s v="main-20231202-1336443"/>
    <x v="31"/>
    <x v="1"/>
    <s v="revexp-20231202-105239"/>
    <n v="229"/>
    <s v="-"/>
    <x v="18"/>
    <x v="4"/>
  </r>
  <r>
    <s v="main-20231202-1336444"/>
    <x v="32"/>
    <x v="0"/>
    <s v="revexp-20231202-105219"/>
    <n v="19"/>
    <s v="-"/>
    <x v="7"/>
    <x v="1"/>
  </r>
  <r>
    <s v="main-20231202-1336445"/>
    <x v="33"/>
    <x v="0"/>
    <s v="revexp-20231202-105234"/>
    <n v="44"/>
    <s v="-"/>
    <x v="19"/>
    <x v="5"/>
  </r>
  <r>
    <s v="main-20231202-1336446"/>
    <x v="34"/>
    <x v="0"/>
    <s v="revexp-20231202-105223"/>
    <n v="10"/>
    <s v="-"/>
    <x v="10"/>
    <x v="1"/>
  </r>
  <r>
    <s v="main-20231202-1336447"/>
    <x v="35"/>
    <x v="0"/>
    <s v="revexp-20231202-105227"/>
    <n v="23"/>
    <s v="-"/>
    <x v="13"/>
    <x v="0"/>
  </r>
  <r>
    <s v="main-20231202-1336448"/>
    <x v="36"/>
    <x v="0"/>
    <s v="revexp-20231202-105224"/>
    <n v="40"/>
    <s v="-"/>
    <x v="1"/>
    <x v="1"/>
  </r>
  <r>
    <s v="main-20231202-1336449"/>
    <x v="37"/>
    <x v="0"/>
    <s v="revexp-20231202-105222"/>
    <n v="25"/>
    <s v="-"/>
    <x v="11"/>
    <x v="1"/>
  </r>
  <r>
    <s v="main-20231202-1336450"/>
    <x v="38"/>
    <x v="0"/>
    <s v="revexp-20231202-105230"/>
    <n v="16"/>
    <s v="-"/>
    <x v="17"/>
    <x v="0"/>
  </r>
  <r>
    <s v="main-20231202-1336451"/>
    <x v="39"/>
    <x v="0"/>
    <s v="revexp-20231202-105235"/>
    <n v="3"/>
    <s v="-"/>
    <x v="20"/>
    <x v="5"/>
  </r>
  <r>
    <s v="main-20231202-1336452"/>
    <x v="40"/>
    <x v="0"/>
    <s v="revexp-20231202-105217"/>
    <n v="4"/>
    <s v="-"/>
    <x v="21"/>
    <x v="6"/>
  </r>
  <r>
    <s v="main-20231202-1336453"/>
    <x v="41"/>
    <x v="0"/>
    <s v="revexp-20231202-105235"/>
    <n v="44"/>
    <s v="-"/>
    <x v="20"/>
    <x v="5"/>
  </r>
  <r>
    <s v="main-20231202-1336454"/>
    <x v="42"/>
    <x v="0"/>
    <s v="revexp-20231202-105231"/>
    <n v="9"/>
    <s v="-"/>
    <x v="22"/>
    <x v="5"/>
  </r>
  <r>
    <s v="main-20231202-1336455"/>
    <x v="43"/>
    <x v="0"/>
    <s v="revexp-20231202-105223"/>
    <n v="31"/>
    <s v="-"/>
    <x v="10"/>
    <x v="1"/>
  </r>
  <r>
    <s v="main-20231202-1336456"/>
    <x v="44"/>
    <x v="1"/>
    <s v="revexp-20231202-105240"/>
    <n v="139"/>
    <s v="-"/>
    <x v="15"/>
    <x v="4"/>
  </r>
  <r>
    <s v="main-20231202-1336457"/>
    <x v="45"/>
    <x v="0"/>
    <s v="revexp-20231202-105233"/>
    <n v="23"/>
    <s v="-"/>
    <x v="16"/>
    <x v="5"/>
  </r>
  <r>
    <s v="main-20231202-1336458"/>
    <x v="46"/>
    <x v="1"/>
    <s v="revexp-20231202-105238"/>
    <n v="46"/>
    <s v="-"/>
    <x v="14"/>
    <x v="2"/>
  </r>
  <r>
    <s v="main-20231202-1336459"/>
    <x v="47"/>
    <x v="0"/>
    <s v="revexp-20231202-105219"/>
    <n v="5"/>
    <s v="-"/>
    <x v="7"/>
    <x v="1"/>
  </r>
  <r>
    <s v="main-20231202-1336460"/>
    <x v="48"/>
    <x v="0"/>
    <s v="revexp-20231202-105227"/>
    <n v="27"/>
    <s v="-"/>
    <x v="13"/>
    <x v="0"/>
  </r>
  <r>
    <s v="main-20231202-1336461"/>
    <x v="49"/>
    <x v="1"/>
    <s v="revexp-20231202-105237"/>
    <n v="387"/>
    <s v="-"/>
    <x v="3"/>
    <x v="2"/>
  </r>
  <r>
    <s v="main-20231202-1336462"/>
    <x v="50"/>
    <x v="0"/>
    <s v="revexp-20231202-105227"/>
    <n v="48"/>
    <s v="-"/>
    <x v="13"/>
    <x v="0"/>
  </r>
  <r>
    <s v="main-20231202-1336463"/>
    <x v="51"/>
    <x v="0"/>
    <s v="revexp-20231202-105228"/>
    <n v="28"/>
    <s v="-"/>
    <x v="12"/>
    <x v="0"/>
  </r>
  <r>
    <s v="main-20231202-1336464"/>
    <x v="52"/>
    <x v="0"/>
    <s v="revexp-20231202-105236"/>
    <n v="25"/>
    <s v="-"/>
    <x v="23"/>
    <x v="5"/>
  </r>
  <r>
    <s v="main-20231202-1336465"/>
    <x v="53"/>
    <x v="1"/>
    <s v="revexp-20231202-105238"/>
    <n v="162"/>
    <s v="-"/>
    <x v="14"/>
    <x v="2"/>
  </r>
  <r>
    <s v="main-20231202-1336466"/>
    <x v="54"/>
    <x v="0"/>
    <s v="revexp-20231202-105222"/>
    <n v="3"/>
    <s v="-"/>
    <x v="11"/>
    <x v="1"/>
  </r>
  <r>
    <s v="main-20231202-1336467"/>
    <x v="55"/>
    <x v="0"/>
    <s v="revexp-20231202-105226"/>
    <n v="1"/>
    <s v="-"/>
    <x v="0"/>
    <x v="0"/>
  </r>
  <r>
    <s v="main-20231202-1336468"/>
    <x v="56"/>
    <x v="0"/>
    <s v="revexp-20231202-105232"/>
    <n v="24"/>
    <s v="-"/>
    <x v="24"/>
    <x v="5"/>
  </r>
  <r>
    <s v="main-20231202-1336469"/>
    <x v="57"/>
    <x v="0"/>
    <s v="revexp-20231202-105232"/>
    <n v="50"/>
    <s v="-"/>
    <x v="24"/>
    <x v="5"/>
  </r>
  <r>
    <s v="main-20231202-1336470"/>
    <x v="58"/>
    <x v="1"/>
    <s v="revexp-20231202-105239"/>
    <n v="85"/>
    <s v="-"/>
    <x v="18"/>
    <x v="4"/>
  </r>
  <r>
    <s v="main-20231202-1336471"/>
    <x v="59"/>
    <x v="0"/>
    <s v="revexp-20231202-105231"/>
    <n v="45"/>
    <s v="-"/>
    <x v="22"/>
    <x v="5"/>
  </r>
  <r>
    <s v="main-20231202-1336472"/>
    <x v="60"/>
    <x v="0"/>
    <s v="revexp-20231202-105220"/>
    <n v="44"/>
    <s v="-"/>
    <x v="5"/>
    <x v="1"/>
  </r>
  <r>
    <s v="main-20231202-1336473"/>
    <x v="61"/>
    <x v="0"/>
    <s v="revexp-20231202-105236"/>
    <n v="36"/>
    <s v="-"/>
    <x v="23"/>
    <x v="5"/>
  </r>
  <r>
    <s v="main-20231202-1336474"/>
    <x v="62"/>
    <x v="0"/>
    <s v="revexp-20231202-105217"/>
    <n v="28"/>
    <s v="-"/>
    <x v="21"/>
    <x v="6"/>
  </r>
  <r>
    <s v="main-20231202-1336475"/>
    <x v="63"/>
    <x v="0"/>
    <s v="revexp-20231202-105233"/>
    <n v="13"/>
    <s v="-"/>
    <x v="16"/>
    <x v="5"/>
  </r>
  <r>
    <s v="main-20231202-1336476"/>
    <x v="64"/>
    <x v="0"/>
    <s v="revexp-20231202-105218"/>
    <n v="44"/>
    <s v="-"/>
    <x v="6"/>
    <x v="1"/>
  </r>
  <r>
    <s v="main-20231202-1336477"/>
    <x v="65"/>
    <x v="0"/>
    <s v="revexp-20231202-105220"/>
    <n v="5"/>
    <s v="-"/>
    <x v="5"/>
    <x v="1"/>
  </r>
  <r>
    <s v="main-20231202-1336478"/>
    <x v="66"/>
    <x v="0"/>
    <s v="revexp-20231202-105224"/>
    <n v="24"/>
    <s v="-"/>
    <x v="1"/>
    <x v="1"/>
  </r>
  <r>
    <s v="main-20231202-1336479"/>
    <x v="67"/>
    <x v="0"/>
    <s v="revexp-20231202-105224"/>
    <n v="10"/>
    <s v="-"/>
    <x v="1"/>
    <x v="1"/>
  </r>
  <r>
    <s v="main-20231202-1336480"/>
    <x v="68"/>
    <x v="0"/>
    <s v="revexp-20231202-105228"/>
    <n v="43"/>
    <s v="-"/>
    <x v="12"/>
    <x v="0"/>
  </r>
  <r>
    <s v="main-20231202-1336482"/>
    <x v="69"/>
    <x v="0"/>
    <s v="revexp-20231202-105223"/>
    <n v="26"/>
    <s v="-"/>
    <x v="10"/>
    <x v="1"/>
  </r>
  <r>
    <s v="main-20231202-1336483"/>
    <x v="70"/>
    <x v="0"/>
    <s v="revexp-20231202-105221"/>
    <n v="27"/>
    <s v="-"/>
    <x v="9"/>
    <x v="1"/>
  </r>
  <r>
    <s v="main-20231202-1336484"/>
    <x v="71"/>
    <x v="0"/>
    <s v="revexp-20231202-105230"/>
    <n v="11"/>
    <s v="-"/>
    <x v="17"/>
    <x v="0"/>
  </r>
  <r>
    <s v="main-20231202-1336485"/>
    <x v="72"/>
    <x v="0"/>
    <s v="revexp-20231202-105230"/>
    <n v="11"/>
    <s v="-"/>
    <x v="17"/>
    <x v="0"/>
  </r>
  <r>
    <s v="main-20231202-1336488"/>
    <x v="73"/>
    <x v="0"/>
    <s v="revexp-20231202-105224"/>
    <n v="22"/>
    <s v="-"/>
    <x v="1"/>
    <x v="1"/>
  </r>
  <r>
    <s v="main-20231202-1336497"/>
    <x v="74"/>
    <x v="0"/>
    <s v="revexp-20231202-105226"/>
    <n v="32"/>
    <s v="-"/>
    <x v="0"/>
    <x v="0"/>
  </r>
  <r>
    <s v="main-20231202-1336498"/>
    <x v="75"/>
    <x v="0"/>
    <s v="revexp-20231202-105219"/>
    <n v="19"/>
    <s v="-"/>
    <x v="7"/>
    <x v="1"/>
  </r>
  <r>
    <s v="main-20231202-1336500"/>
    <x v="76"/>
    <x v="1"/>
    <s v="revexp-20231202-105239"/>
    <n v="352"/>
    <s v="-"/>
    <x v="18"/>
    <x v="4"/>
  </r>
  <r>
    <s v="main-20231202-1336505"/>
    <x v="77"/>
    <x v="0"/>
    <s v="revexp-20231202-105219"/>
    <n v="28"/>
    <s v="-"/>
    <x v="7"/>
    <x v="1"/>
  </r>
  <r>
    <s v="main-20231202-1336506"/>
    <x v="78"/>
    <x v="0"/>
    <s v="revexp-20231202-105229"/>
    <n v="12"/>
    <s v="-"/>
    <x v="4"/>
    <x v="0"/>
  </r>
  <r>
    <s v="main-20240526-1300480"/>
    <x v="79"/>
    <x v="1"/>
    <s v="revexp-20231202-105237"/>
    <n v="3000"/>
    <s v="-"/>
    <x v="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CE7783-D01A-449C-8E1B-6EE016124FEB}" name="PivotTable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17:E18" firstHeaderRow="1" firstDataRow="1" firstDataCol="0" rowPageCount="1" colPageCount="1"/>
  <pivotFields count="11">
    <pivotField showAll="0"/>
    <pivotField showAll="0">
      <items count="979">
        <item m="1" x="111"/>
        <item x="26"/>
        <item m="1" x="112"/>
        <item m="1" x="110"/>
        <item m="1" x="109"/>
        <item m="1" x="94"/>
        <item x="14"/>
        <item m="1" x="108"/>
        <item m="1" x="107"/>
        <item m="1" x="119"/>
        <item m="1" x="118"/>
        <item m="1" x="120"/>
        <item m="1" x="114"/>
        <item m="1" x="113"/>
        <item m="1" x="115"/>
        <item m="1" x="116"/>
        <item m="1" x="117"/>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Page" multipleItemSelectionAllowed="1" showAll="0">
      <items count="5">
        <item x="1"/>
        <item h="1" x="0"/>
        <item m="1" x="3"/>
        <item h="1" m="1" x="2"/>
        <item t="default"/>
      </items>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7">
        <item x="4"/>
        <item h="1" x="0"/>
        <item h="1" x="1"/>
        <item h="1" x="2"/>
        <item h="1" x="3"/>
        <item h="1" x="5"/>
        <item t="default"/>
      </items>
    </pivotField>
  </pivotFields>
  <rowItems count="1">
    <i/>
  </rowItems>
  <colItems count="1">
    <i/>
  </colItems>
  <pageFields count="1">
    <pageField fld="2" hier="-1"/>
  </pageFields>
  <dataFields count="1">
    <dataField name="Sum of Amount" fld="4"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BA37BC-FCF6-4ECF-AADF-4CC80519382A}"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4:E5" firstHeaderRow="1" firstDataRow="1" firstDataCol="0" rowPageCount="1" colPageCount="1"/>
  <pivotFields count="11">
    <pivotField showAll="0"/>
    <pivotField showAll="0">
      <items count="979">
        <item m="1" x="111"/>
        <item x="26"/>
        <item m="1" x="112"/>
        <item m="1" x="110"/>
        <item m="1" x="109"/>
        <item m="1" x="94"/>
        <item x="14"/>
        <item m="1" x="108"/>
        <item m="1" x="107"/>
        <item m="1" x="119"/>
        <item m="1" x="118"/>
        <item m="1" x="120"/>
        <item m="1" x="114"/>
        <item m="1" x="113"/>
        <item m="1" x="115"/>
        <item m="1" x="116"/>
        <item m="1" x="117"/>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Page" multipleItemSelectionAllowed="1" showAll="0">
      <items count="5">
        <item h="1" x="1"/>
        <item x="0"/>
        <item h="1" m="1" x="3"/>
        <item m="1" x="2"/>
        <item t="default"/>
      </items>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7">
        <item x="4"/>
        <item h="1" x="0"/>
        <item h="1" x="1"/>
        <item h="1" x="2"/>
        <item h="1" x="3"/>
        <item h="1" x="5"/>
        <item t="default"/>
      </items>
    </pivotField>
  </pivotFields>
  <rowItems count="1">
    <i/>
  </rowItems>
  <colItems count="1">
    <i/>
  </colItems>
  <pageFields count="1">
    <pageField fld="2" hier="-1"/>
  </pageFields>
  <dataFields count="1">
    <dataField name="Sum of Amount" fld="4" baseField="0" baseItem="0" numFmtId="164"/>
  </dataFields>
  <formats count="1">
    <format dxfId="1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5D0404-AED0-40D2-A302-B23322A997DB}" name="PivotTable6"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Z4:AB20" firstHeaderRow="1" firstDataRow="2" firstDataCol="1"/>
  <pivotFields count="11">
    <pivotField showAll="0"/>
    <pivotField showAll="0">
      <items count="979">
        <item m="1" x="111"/>
        <item x="26"/>
        <item m="1" x="112"/>
        <item m="1" x="110"/>
        <item m="1" x="109"/>
        <item m="1" x="94"/>
        <item x="14"/>
        <item m="1" x="108"/>
        <item m="1" x="107"/>
        <item m="1" x="119"/>
        <item m="1" x="118"/>
        <item m="1" x="120"/>
        <item m="1" x="114"/>
        <item m="1" x="113"/>
        <item m="1" x="115"/>
        <item m="1" x="116"/>
        <item m="1" x="117"/>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Col" showAll="0">
      <items count="5">
        <item x="1"/>
        <item x="0"/>
        <item m="1" x="3"/>
        <item m="1" x="2"/>
        <item t="default"/>
      </items>
    </pivotField>
    <pivotField showAll="0"/>
    <pivotField dataField="1" showAll="0"/>
    <pivotField showAll="0"/>
    <pivotField axis="axisRow" showAll="0">
      <items count="32">
        <item m="1" x="30"/>
        <item m="1" x="28"/>
        <item m="1" x="27"/>
        <item m="1" x="25"/>
        <item m="1" x="29"/>
        <item m="1" x="26"/>
        <item x="0"/>
        <item x="1"/>
        <item x="2"/>
        <item x="3"/>
        <item x="4"/>
        <item x="5"/>
        <item x="6"/>
        <item x="7"/>
        <item x="8"/>
        <item x="9"/>
        <item x="10"/>
        <item x="11"/>
        <item x="12"/>
        <item x="13"/>
        <item x="14"/>
        <item x="15"/>
        <item x="16"/>
        <item x="17"/>
        <item x="18"/>
        <item x="19"/>
        <item x="20"/>
        <item x="21"/>
        <item x="22"/>
        <item x="23"/>
        <item x="24"/>
        <item t="default"/>
      </items>
    </pivotField>
    <pivotField showAll="0" sortType="ascending"/>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7">
        <item x="4"/>
        <item h="1" x="0"/>
        <item h="1" x="1"/>
        <item h="1" x="2"/>
        <item h="1" x="3"/>
        <item h="1" x="5"/>
        <item t="default"/>
      </items>
    </pivotField>
  </pivotFields>
  <rowFields count="1">
    <field x="6"/>
  </rowFields>
  <rowItems count="15">
    <i>
      <x v="6"/>
    </i>
    <i>
      <x v="9"/>
    </i>
    <i>
      <x v="11"/>
    </i>
    <i>
      <x v="12"/>
    </i>
    <i>
      <x v="13"/>
    </i>
    <i>
      <x v="14"/>
    </i>
    <i>
      <x v="15"/>
    </i>
    <i>
      <x v="16"/>
    </i>
    <i>
      <x v="17"/>
    </i>
    <i>
      <x v="18"/>
    </i>
    <i>
      <x v="19"/>
    </i>
    <i>
      <x v="21"/>
    </i>
    <i>
      <x v="22"/>
    </i>
    <i>
      <x v="23"/>
    </i>
    <i>
      <x v="24"/>
    </i>
  </rowItems>
  <colFields count="1">
    <field x="2"/>
  </colFields>
  <colItems count="2">
    <i>
      <x/>
    </i>
    <i>
      <x v="1"/>
    </i>
  </colItems>
  <dataFields count="1">
    <dataField name="Sum of Amount" fld="4" baseField="0" baseItem="0"/>
  </dataFields>
  <chartFormats count="6">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0" series="1">
      <pivotArea type="data" outline="0" fieldPosition="0">
        <references count="2">
          <reference field="4294967294" count="1" selected="0">
            <x v="0"/>
          </reference>
          <reference field="2" count="1" selected="0">
            <x v="0"/>
          </reference>
        </references>
      </pivotArea>
    </chartFormat>
    <chartFormat chart="15" format="1" series="1">
      <pivotArea type="data" outline="0" fieldPosition="0">
        <references count="2">
          <reference field="4294967294" count="1" selected="0">
            <x v="0"/>
          </reference>
          <reference field="2" count="1" selected="0">
            <x v="1"/>
          </reference>
        </references>
      </pivotArea>
    </chartFormat>
    <chartFormat chart="15" format="2" series="1">
      <pivotArea type="data" outline="0" fieldPosition="0">
        <references count="2">
          <reference field="4294967294" count="1" selected="0">
            <x v="0"/>
          </reference>
          <reference field="2" count="1" selected="0">
            <x v="2"/>
          </reference>
        </references>
      </pivotArea>
    </chartFormat>
    <chartFormat chart="15"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64E460-C3FA-4AB7-821E-F85426C8ADC3}"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U6:AV10" firstHeaderRow="1" firstDataRow="1" firstDataCol="1"/>
  <pivotFields count="11">
    <pivotField showAll="0"/>
    <pivotField showAll="0">
      <items count="979">
        <item m="1" x="110"/>
        <item m="1" x="109"/>
        <item m="1" x="94"/>
        <item x="14"/>
        <item m="1" x="108"/>
        <item m="1" x="107"/>
        <item x="26"/>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multipleItemSelectionAllowed="1" showAll="0">
      <items count="5">
        <item h="1" m="1" x="2"/>
        <item h="1" x="1"/>
        <item x="0"/>
        <item h="1" m="1" x="3"/>
        <item t="default"/>
      </items>
    </pivotField>
    <pivotField showAll="0"/>
    <pivotField dataField="1" showAll="0"/>
    <pivotField showAll="0"/>
    <pivotField showAll="0"/>
    <pivotField axis="axisRow" showAll="0">
      <items count="29">
        <item x="5"/>
        <item x="1"/>
        <item m="1" x="22"/>
        <item m="1" x="9"/>
        <item m="1" x="10"/>
        <item x="4"/>
        <item x="0"/>
        <item m="1" x="8"/>
        <item m="1" x="27"/>
        <item m="1" x="24"/>
        <item m="1" x="11"/>
        <item m="1" x="16"/>
        <item x="3"/>
        <item m="1" x="7"/>
        <item x="6"/>
        <item m="1" x="20"/>
        <item m="1" x="26"/>
        <item m="1" x="18"/>
        <item m="1" x="17"/>
        <item m="1" x="13"/>
        <item m="1" x="12"/>
        <item m="1" x="23"/>
        <item m="1" x="19"/>
        <item x="2"/>
        <item m="1" x="21"/>
        <item m="1" x="25"/>
        <item m="1" x="14"/>
        <item m="1" x="1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sd="0" x="4"/>
        <item h="1" x="0"/>
        <item h="1" x="1"/>
        <item h="1" x="2"/>
        <item h="1" x="3"/>
        <item h="1" x="5"/>
        <item t="default"/>
      </items>
    </pivotField>
  </pivotFields>
  <rowFields count="1">
    <field x="7"/>
  </rowFields>
  <rowItems count="4">
    <i>
      <x/>
    </i>
    <i>
      <x v="1"/>
    </i>
    <i>
      <x v="6"/>
    </i>
    <i t="grand">
      <x/>
    </i>
  </rowItems>
  <colItems count="1">
    <i/>
  </colItems>
  <dataFields count="1">
    <dataField name="Sum of Amount" fld="4" baseField="0" baseItem="0"/>
  </dataFields>
  <chartFormats count="8">
    <chartFormat chart="26" format="0" series="1">
      <pivotArea type="data" outline="0" fieldPosition="0">
        <references count="1">
          <reference field="4294967294" count="1" selected="0">
            <x v="0"/>
          </reference>
        </references>
      </pivotArea>
    </chartFormat>
    <chartFormat chart="26" format="1" series="1">
      <pivotArea type="data" outline="0" fieldPosition="0">
        <references count="2">
          <reference field="4294967294" count="1" selected="0">
            <x v="0"/>
          </reference>
          <reference field="7" count="1" selected="0">
            <x v="5"/>
          </reference>
        </references>
      </pivotArea>
    </chartFormat>
    <chartFormat chart="26" format="2" series="1">
      <pivotArea type="data" outline="0" fieldPosition="0">
        <references count="2">
          <reference field="4294967294" count="1" selected="0">
            <x v="0"/>
          </reference>
          <reference field="7" count="1" selected="0">
            <x v="6"/>
          </reference>
        </references>
      </pivotArea>
    </chartFormat>
    <chartFormat chart="26" format="3" series="1">
      <pivotArea type="data" outline="0" fieldPosition="0">
        <references count="2">
          <reference field="4294967294" count="1" selected="0">
            <x v="0"/>
          </reference>
          <reference field="7" count="1" selected="0">
            <x v="1"/>
          </reference>
        </references>
      </pivotArea>
    </chartFormat>
    <chartFormat chart="26" format="4" series="1">
      <pivotArea type="data" outline="0" fieldPosition="0">
        <references count="2">
          <reference field="4294967294" count="1" selected="0">
            <x v="0"/>
          </reference>
          <reference field="7" count="1" selected="0">
            <x v="23"/>
          </reference>
        </references>
      </pivotArea>
    </chartFormat>
    <chartFormat chart="28"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6752D7-0F33-4FB1-BCEB-00596430EA04}"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F5:AG17" firstHeaderRow="1" firstDataRow="1" firstDataCol="1"/>
  <pivotFields count="11">
    <pivotField showAll="0"/>
    <pivotField showAll="0">
      <items count="979">
        <item m="1" x="110"/>
        <item m="1" x="109"/>
        <item m="1" x="94"/>
        <item x="14"/>
        <item m="1" x="108"/>
        <item m="1" x="107"/>
        <item x="26"/>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multipleItemSelectionAllowed="1" showAll="0">
      <items count="5">
        <item h="1" m="1" x="2"/>
        <item h="1" x="1"/>
        <item x="0"/>
        <item h="1" m="1" x="3"/>
        <item t="default"/>
      </items>
    </pivotField>
    <pivotField showAll="0"/>
    <pivotField dataField="1" showAll="0"/>
    <pivotField showAll="0"/>
    <pivotField axis="axisRow" showAll="0">
      <items count="32">
        <item m="1" x="30"/>
        <item x="17"/>
        <item x="9"/>
        <item x="18"/>
        <item x="13"/>
        <item x="22"/>
        <item x="4"/>
        <item x="16"/>
        <item x="23"/>
        <item m="1" x="28"/>
        <item x="24"/>
        <item m="1" x="27"/>
        <item x="8"/>
        <item x="1"/>
        <item m="1" x="25"/>
        <item x="21"/>
        <item x="11"/>
        <item x="6"/>
        <item x="5"/>
        <item x="14"/>
        <item x="3"/>
        <item m="1" x="29"/>
        <item m="1" x="26"/>
        <item x="19"/>
        <item x="2"/>
        <item x="12"/>
        <item x="20"/>
        <item x="7"/>
        <item x="10"/>
        <item x="0"/>
        <item x="1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sd="0" x="4"/>
        <item h="1" x="0"/>
        <item h="1" x="1"/>
        <item h="1" x="2"/>
        <item h="1" x="3"/>
        <item h="1" x="5"/>
        <item t="default"/>
      </items>
    </pivotField>
  </pivotFields>
  <rowFields count="1">
    <field x="6"/>
  </rowFields>
  <rowItems count="12">
    <i>
      <x v="1"/>
    </i>
    <i>
      <x v="2"/>
    </i>
    <i>
      <x v="4"/>
    </i>
    <i>
      <x v="7"/>
    </i>
    <i>
      <x v="16"/>
    </i>
    <i>
      <x v="17"/>
    </i>
    <i>
      <x v="18"/>
    </i>
    <i>
      <x v="25"/>
    </i>
    <i>
      <x v="27"/>
    </i>
    <i>
      <x v="28"/>
    </i>
    <i>
      <x v="29"/>
    </i>
    <i t="grand">
      <x/>
    </i>
  </rowItems>
  <colItems count="1">
    <i/>
  </colItems>
  <dataFields count="1">
    <dataField name="Sum of Amount" fld="4" baseField="0" baseItem="0"/>
  </dataFields>
  <chartFormats count="3">
    <chartFormat chart="26"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FCA540-F62C-4D81-8D4F-B95232A68C0A}" name="PivotTable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T4:V11" firstHeaderRow="1" firstDataRow="2" firstDataCol="1"/>
  <pivotFields count="11">
    <pivotField showAll="0"/>
    <pivotField showAll="0">
      <items count="979">
        <item m="1" x="111"/>
        <item x="26"/>
        <item m="1" x="112"/>
        <item m="1" x="110"/>
        <item m="1" x="109"/>
        <item m="1" x="94"/>
        <item x="14"/>
        <item m="1" x="108"/>
        <item m="1" x="107"/>
        <item m="1" x="119"/>
        <item m="1" x="118"/>
        <item m="1" x="120"/>
        <item m="1" x="114"/>
        <item m="1" x="113"/>
        <item m="1" x="115"/>
        <item m="1" x="116"/>
        <item m="1" x="117"/>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Col" showAll="0">
      <items count="5">
        <item x="1"/>
        <item x="0"/>
        <item m="1" x="3"/>
        <item m="1" x="2"/>
        <item t="default"/>
      </items>
    </pivotField>
    <pivotField showAll="0"/>
    <pivotField dataField="1" showAll="0"/>
    <pivotField showAll="0"/>
    <pivotField showAll="0"/>
    <pivotField axis="axisRow" showAll="0" sortType="ascending">
      <items count="29">
        <item m="1" x="22"/>
        <item x="5"/>
        <item m="1" x="9"/>
        <item m="1" x="10"/>
        <item x="4"/>
        <item x="0"/>
        <item m="1" x="8"/>
        <item m="1" x="27"/>
        <item m="1" x="24"/>
        <item m="1" x="11"/>
        <item m="1" x="16"/>
        <item x="3"/>
        <item m="1" x="7"/>
        <item x="6"/>
        <item m="1" x="20"/>
        <item x="1"/>
        <item m="1" x="26"/>
        <item m="1" x="18"/>
        <item m="1" x="17"/>
        <item m="1" x="13"/>
        <item m="1" x="12"/>
        <item m="1" x="23"/>
        <item m="1" x="19"/>
        <item x="2"/>
        <item m="1" x="21"/>
        <item m="1" x="25"/>
        <item m="1" x="14"/>
        <item m="1" x="15"/>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7">
        <item x="4"/>
        <item h="1" x="0"/>
        <item h="1" x="1"/>
        <item h="1" x="2"/>
        <item h="1" x="3"/>
        <item h="1" x="5"/>
        <item t="default"/>
      </items>
    </pivotField>
  </pivotFields>
  <rowFields count="1">
    <field x="7"/>
  </rowFields>
  <rowItems count="6">
    <i>
      <x v="1"/>
    </i>
    <i>
      <x v="4"/>
    </i>
    <i>
      <x v="5"/>
    </i>
    <i>
      <x v="11"/>
    </i>
    <i>
      <x v="15"/>
    </i>
    <i>
      <x v="23"/>
    </i>
  </rowItems>
  <colFields count="1">
    <field x="2"/>
  </colFields>
  <colItems count="2">
    <i>
      <x/>
    </i>
    <i>
      <x v="1"/>
    </i>
  </colItems>
  <dataFields count="1">
    <dataField name="Sum of Amount" fld="4" baseField="0" baseItem="0"/>
  </dataFields>
  <chartFormats count="5">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2">
          <reference field="4294967294" count="1" selected="0">
            <x v="0"/>
          </reference>
          <reference field="2" count="1" selected="0">
            <x v="1"/>
          </reference>
        </references>
      </pivotArea>
    </chartFormat>
    <chartFormat chart="9" format="2" series="1">
      <pivotArea type="data" outline="0" fieldPosition="0">
        <references count="2">
          <reference field="4294967294" count="1" selected="0">
            <x v="0"/>
          </reference>
          <reference field="2" count="1" selected="0">
            <x v="2"/>
          </reference>
        </references>
      </pivotArea>
    </chartFormat>
    <chartFormat chart="9" format="3" series="1">
      <pivotArea type="data" outline="0" fieldPosition="0">
        <references count="2">
          <reference field="4294967294" count="1" selected="0">
            <x v="0"/>
          </reference>
          <reference field="2" count="1" selected="0">
            <x v="3"/>
          </reference>
        </references>
      </pivotArea>
    </chartFormat>
    <chartFormat chart="9" format="4"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1106B2-A90A-4FF3-B5A2-E1E9D106082B}" name="PivotTable1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I4:J9" firstHeaderRow="1" firstDataRow="1" firstDataCol="1"/>
  <pivotFields count="11">
    <pivotField showAll="0"/>
    <pivotField showAll="0">
      <items count="979">
        <item m="1" x="110"/>
        <item m="1" x="109"/>
        <item m="1" x="94"/>
        <item x="14"/>
        <item m="1" x="108"/>
        <item m="1" x="107"/>
        <item x="26"/>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Row" showAll="0" sortType="ascending">
      <items count="7">
        <item x="0"/>
        <item x="5"/>
        <item x="1"/>
        <item x="2"/>
        <item x="3"/>
        <item sd="0" x="4"/>
        <item t="default"/>
      </items>
    </pivotField>
  </pivotFields>
  <rowFields count="1">
    <field x="10"/>
  </rowFields>
  <rowItems count="5">
    <i>
      <x v="2"/>
    </i>
    <i>
      <x v="3"/>
    </i>
    <i>
      <x v="4"/>
    </i>
    <i>
      <x v="5"/>
    </i>
    <i t="grand">
      <x/>
    </i>
  </rowItems>
  <colItems count="1">
    <i/>
  </colItems>
  <dataFields count="1">
    <dataField name="Sum of Amount" fld="4" baseField="0" baseItem="0"/>
  </dataFields>
  <chartFormats count="1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0" count="1" selected="0">
            <x v="5"/>
          </reference>
        </references>
      </pivotArea>
    </chartFormat>
    <chartFormat chart="9" format="1">
      <pivotArea type="data" outline="0" fieldPosition="0">
        <references count="2">
          <reference field="4294967294" count="1" selected="0">
            <x v="0"/>
          </reference>
          <reference field="10" count="1" selected="0">
            <x v="5"/>
          </reference>
        </references>
      </pivotArea>
    </chartFormat>
    <chartFormat chart="13" format="9">
      <pivotArea type="data" outline="0" fieldPosition="0">
        <references count="2">
          <reference field="4294967294" count="1" selected="0">
            <x v="0"/>
          </reference>
          <reference field="10" count="1" selected="0">
            <x v="2"/>
          </reference>
        </references>
      </pivotArea>
    </chartFormat>
    <chartFormat chart="13" format="10">
      <pivotArea type="data" outline="0" fieldPosition="0">
        <references count="2">
          <reference field="4294967294" count="1" selected="0">
            <x v="0"/>
          </reference>
          <reference field="10" count="1" selected="0">
            <x v="3"/>
          </reference>
        </references>
      </pivotArea>
    </chartFormat>
    <chartFormat chart="13" format="11">
      <pivotArea type="data" outline="0" fieldPosition="0">
        <references count="2">
          <reference field="4294967294" count="1" selected="0">
            <x v="0"/>
          </reference>
          <reference field="10" count="1" selected="0">
            <x v="4"/>
          </reference>
        </references>
      </pivotArea>
    </chartFormat>
    <chartFormat chart="9" format="4">
      <pivotArea type="data" outline="0" fieldPosition="0">
        <references count="2">
          <reference field="4294967294" count="1" selected="0">
            <x v="0"/>
          </reference>
          <reference field="10" count="1" selected="0">
            <x v="2"/>
          </reference>
        </references>
      </pivotArea>
    </chartFormat>
    <chartFormat chart="9" format="5">
      <pivotArea type="data" outline="0" fieldPosition="0">
        <references count="2">
          <reference field="4294967294" count="1" selected="0">
            <x v="0"/>
          </reference>
          <reference field="10" count="1" selected="0">
            <x v="3"/>
          </reference>
        </references>
      </pivotArea>
    </chartFormat>
    <chartFormat chart="9" format="6">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3D21AD-219B-4AC8-A8E0-F535746721E8}"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3">
  <location ref="N4:P14" firstHeaderRow="1" firstDataRow="2" firstDataCol="1" rowPageCount="1" colPageCount="1"/>
  <pivotFields count="11">
    <pivotField showAll="0"/>
    <pivotField showAll="0">
      <items count="979">
        <item m="1" x="110"/>
        <item m="1" x="109"/>
        <item m="1" x="94"/>
        <item x="14"/>
        <item m="1" x="108"/>
        <item m="1" x="107"/>
        <item x="26"/>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Col" showAll="0">
      <items count="5">
        <item x="1"/>
        <item x="0"/>
        <item m="1" x="3"/>
        <item m="1" x="2"/>
        <item t="default"/>
      </items>
    </pivotField>
    <pivotField showAll="0"/>
    <pivotField dataField="1" showAll="0"/>
    <pivotField showAll="0"/>
    <pivotField showAll="0"/>
    <pivotField showAll="0"/>
    <pivotField axis="axisRow" showAll="0">
      <items count="15">
        <item sd="0" x="0"/>
        <item n="Yanvar" sd="0" x="1"/>
        <item n="Fevral" sd="0" x="2"/>
        <item n="Mart" sd="0" x="3"/>
        <item n="Aprel" sd="0" x="4"/>
        <item sd="0" x="5"/>
        <item n="Iyun" sd="0" x="6"/>
        <item n="Iyul" sd="0" x="7"/>
        <item n="Avqust" sd="0" x="8"/>
        <item n="Sentyabr" sd="0" x="9"/>
        <item n="Oktyabr" sd="0" x="10"/>
        <item n="Noyabr" sd="0" x="11"/>
        <item n="Dekabr" sd="0" x="12"/>
        <item sd="0" x="13"/>
        <item t="default"/>
      </items>
    </pivotField>
    <pivotField showAll="0">
      <items count="7">
        <item sd="0" x="1"/>
        <item sd="0" x="2"/>
        <item sd="0" x="3"/>
        <item sd="0" x="4"/>
        <item x="0"/>
        <item x="5"/>
        <item t="default"/>
      </items>
    </pivotField>
    <pivotField axis="axisPage" showAll="0">
      <items count="7">
        <item sd="0" x="4"/>
        <item x="0"/>
        <item x="1"/>
        <item x="2"/>
        <item x="3"/>
        <item x="5"/>
        <item t="default"/>
      </items>
    </pivotField>
  </pivotFields>
  <rowFields count="1">
    <field x="8"/>
  </rowFields>
  <rowItems count="9">
    <i>
      <x v="1"/>
    </i>
    <i>
      <x v="2"/>
    </i>
    <i>
      <x v="3"/>
    </i>
    <i>
      <x v="4"/>
    </i>
    <i>
      <x v="5"/>
    </i>
    <i>
      <x v="6"/>
    </i>
    <i>
      <x v="7"/>
    </i>
    <i>
      <x v="10"/>
    </i>
    <i>
      <x v="12"/>
    </i>
  </rowItems>
  <colFields count="1">
    <field x="2"/>
  </colFields>
  <colItems count="2">
    <i>
      <x/>
    </i>
    <i>
      <x v="1"/>
    </i>
  </colItems>
  <pageFields count="1">
    <pageField fld="10" item="0" hier="-1"/>
  </pageFields>
  <dataFields count="1">
    <dataField name="Sum of Amount" fld="4" baseField="0" baseItem="0"/>
  </dataFields>
  <chartFormats count="10">
    <chartFormat chart="38" format="0" series="1">
      <pivotArea type="data" outline="0" fieldPosition="0">
        <references count="2">
          <reference field="4294967294" count="1" selected="0">
            <x v="0"/>
          </reference>
          <reference field="2" count="1" selected="0">
            <x v="2"/>
          </reference>
        </references>
      </pivotArea>
    </chartFormat>
    <chartFormat chart="38" format="1" series="1">
      <pivotArea type="data" outline="0" fieldPosition="0">
        <references count="2">
          <reference field="4294967294" count="1" selected="0">
            <x v="0"/>
          </reference>
          <reference field="2" count="1" selected="0">
            <x v="3"/>
          </reference>
        </references>
      </pivotArea>
    </chartFormat>
    <chartFormat chart="39" format="2" series="1">
      <pivotArea type="data" outline="0" fieldPosition="0">
        <references count="2">
          <reference field="4294967294" count="1" selected="0">
            <x v="0"/>
          </reference>
          <reference field="2" count="1" selected="0">
            <x v="2"/>
          </reference>
        </references>
      </pivotArea>
    </chartFormat>
    <chartFormat chart="39" format="3" series="1">
      <pivotArea type="data" outline="0" fieldPosition="0">
        <references count="2">
          <reference field="4294967294" count="1" selected="0">
            <x v="0"/>
          </reference>
          <reference field="2" count="1" selected="0">
            <x v="3"/>
          </reference>
        </references>
      </pivotArea>
    </chartFormat>
    <chartFormat chart="40" format="4" series="1">
      <pivotArea type="data" outline="0" fieldPosition="0">
        <references count="2">
          <reference field="4294967294" count="1" selected="0">
            <x v="0"/>
          </reference>
          <reference field="2" count="1" selected="0">
            <x v="2"/>
          </reference>
        </references>
      </pivotArea>
    </chartFormat>
    <chartFormat chart="40" format="5" series="1">
      <pivotArea type="data" outline="0" fieldPosition="0">
        <references count="2">
          <reference field="4294967294" count="1" selected="0">
            <x v="0"/>
          </reference>
          <reference field="2" count="1" selected="0">
            <x v="3"/>
          </reference>
        </references>
      </pivotArea>
    </chartFormat>
    <chartFormat chart="38" format="2" series="1">
      <pivotArea type="data" outline="0" fieldPosition="0">
        <references count="2">
          <reference field="4294967294" count="1" selected="0">
            <x v="0"/>
          </reference>
          <reference field="2" count="1" selected="0">
            <x v="0"/>
          </reference>
        </references>
      </pivotArea>
    </chartFormat>
    <chartFormat chart="38" format="3" series="1">
      <pivotArea type="data" outline="0" fieldPosition="0">
        <references count="2">
          <reference field="4294967294" count="1" selected="0">
            <x v="0"/>
          </reference>
          <reference field="2" count="1" selected="0">
            <x v="1"/>
          </reference>
        </references>
      </pivotArea>
    </chartFormat>
    <chartFormat chart="40" format="6" series="1">
      <pivotArea type="data" outline="0" fieldPosition="0">
        <references count="2">
          <reference field="4294967294" count="1" selected="0">
            <x v="0"/>
          </reference>
          <reference field="2" count="1" selected="0">
            <x v="0"/>
          </reference>
        </references>
      </pivotArea>
    </chartFormat>
    <chartFormat chart="40" format="7"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7EB9612-FA22-4FDB-AAA9-81894F9D5A81}"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4:B7" firstHeaderRow="1" firstDataRow="1" firstDataCol="1"/>
  <pivotFields count="11">
    <pivotField showAll="0"/>
    <pivotField showAll="0">
      <items count="979">
        <item m="1" x="110"/>
        <item m="1" x="109"/>
        <item m="1" x="94"/>
        <item x="14"/>
        <item m="1" x="108"/>
        <item m="1" x="107"/>
        <item x="26"/>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axis="axisRow" showAll="0">
      <items count="5">
        <item h="1" m="1" x="2"/>
        <item x="1"/>
        <item x="0"/>
        <item h="1" m="1" x="3"/>
        <item t="default"/>
      </items>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7">
        <item sd="0" x="4"/>
        <item h="1" x="0"/>
        <item h="1" x="1"/>
        <item h="1" x="2"/>
        <item h="1" x="3"/>
        <item h="1" x="5"/>
        <item t="default"/>
      </items>
    </pivotField>
  </pivotFields>
  <rowFields count="1">
    <field x="2"/>
  </rowFields>
  <rowItems count="3">
    <i>
      <x v="1"/>
    </i>
    <i>
      <x v="2"/>
    </i>
    <i t="grand">
      <x/>
    </i>
  </rowItems>
  <colItems count="1">
    <i/>
  </colItems>
  <dataFields count="1">
    <dataField name="Sum of Amount" fld="4" baseField="0" baseItem="0"/>
  </dataFields>
  <chartFormats count="1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 chart="24" format="5">
      <pivotArea type="data" outline="0" fieldPosition="0">
        <references count="2">
          <reference field="4294967294" count="1" selected="0">
            <x v="0"/>
          </reference>
          <reference field="2" count="1" selected="0">
            <x v="0"/>
          </reference>
        </references>
      </pivotArea>
    </chartFormat>
    <chartFormat chart="24" format="6">
      <pivotArea type="data" outline="0" fieldPosition="0">
        <references count="2">
          <reference field="4294967294" count="1" selected="0">
            <x v="0"/>
          </reference>
          <reference field="2" count="1" selected="0">
            <x v="3"/>
          </reference>
        </references>
      </pivotArea>
    </chartFormat>
    <chartFormat chart="21" format="1">
      <pivotArea type="data" outline="0" fieldPosition="0">
        <references count="2">
          <reference field="4294967294" count="1" selected="0">
            <x v="0"/>
          </reference>
          <reference field="2" count="1" selected="0">
            <x v="0"/>
          </reference>
        </references>
      </pivotArea>
    </chartFormat>
    <chartFormat chart="21" format="2">
      <pivotArea type="data" outline="0" fieldPosition="0">
        <references count="2">
          <reference field="4294967294" count="1" selected="0">
            <x v="0"/>
          </reference>
          <reference field="2" count="1" selected="0">
            <x v="3"/>
          </reference>
        </references>
      </pivotArea>
    </chartFormat>
    <chartFormat chart="24" format="7">
      <pivotArea type="data" outline="0" fieldPosition="0">
        <references count="2">
          <reference field="4294967294" count="1" selected="0">
            <x v="0"/>
          </reference>
          <reference field="2" count="1" selected="0">
            <x v="1"/>
          </reference>
        </references>
      </pivotArea>
    </chartFormat>
    <chartFormat chart="24" format="8">
      <pivotArea type="data" outline="0" fieldPosition="0">
        <references count="2">
          <reference field="4294967294" count="1" selected="0">
            <x v="0"/>
          </reference>
          <reference field="2" count="1" selected="0">
            <x v="2"/>
          </reference>
        </references>
      </pivotArea>
    </chartFormat>
    <chartFormat chart="21" format="3">
      <pivotArea type="data" outline="0" fieldPosition="0">
        <references count="2">
          <reference field="4294967294" count="1" selected="0">
            <x v="0"/>
          </reference>
          <reference field="2" count="1" selected="0">
            <x v="1"/>
          </reference>
        </references>
      </pivotArea>
    </chartFormat>
    <chartFormat chart="21"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51E2EC7-B379-433E-9CB1-4621D095851A}"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11:E12" firstHeaderRow="1" firstDataRow="1" firstDataCol="0"/>
  <pivotFields count="11">
    <pivotField dataField="1" showAll="0"/>
    <pivotField showAll="0">
      <items count="979">
        <item m="1" x="111"/>
        <item x="26"/>
        <item m="1" x="112"/>
        <item m="1" x="110"/>
        <item m="1" x="109"/>
        <item m="1" x="94"/>
        <item x="14"/>
        <item m="1" x="108"/>
        <item m="1" x="107"/>
        <item m="1" x="119"/>
        <item m="1" x="118"/>
        <item m="1" x="120"/>
        <item m="1" x="114"/>
        <item m="1" x="113"/>
        <item m="1" x="115"/>
        <item m="1" x="116"/>
        <item m="1" x="117"/>
        <item m="1" x="121"/>
        <item m="1" x="122"/>
        <item m="1" x="123"/>
        <item m="1" x="124"/>
        <item m="1" x="125"/>
        <item m="1" x="126"/>
        <item m="1" x="127"/>
        <item m="1" x="128"/>
        <item m="1" x="129"/>
        <item m="1" x="130"/>
        <item m="1" x="131"/>
        <item m="1" x="132"/>
        <item m="1" x="133"/>
        <item m="1" x="134"/>
        <item m="1" x="135"/>
        <item m="1" x="136"/>
        <item m="1" x="137"/>
        <item m="1" x="138"/>
        <item x="22"/>
        <item m="1" x="139"/>
        <item m="1" x="140"/>
        <item m="1" x="141"/>
        <item m="1" x="142"/>
        <item m="1" x="143"/>
        <item m="1" x="144"/>
        <item m="1" x="145"/>
        <item m="1" x="146"/>
        <item m="1" x="95"/>
        <item m="1" x="147"/>
        <item m="1" x="148"/>
        <item m="1" x="149"/>
        <item m="1" x="150"/>
        <item m="1" x="151"/>
        <item m="1" x="152"/>
        <item m="1" x="153"/>
        <item m="1" x="154"/>
        <item m="1" x="155"/>
        <item x="63"/>
        <item m="1" x="156"/>
        <item x="3"/>
        <item m="1" x="157"/>
        <item m="1" x="158"/>
        <item m="1" x="159"/>
        <item m="1" x="160"/>
        <item m="1" x="161"/>
        <item m="1" x="162"/>
        <item m="1" x="163"/>
        <item m="1" x="164"/>
        <item m="1" x="165"/>
        <item m="1" x="166"/>
        <item m="1" x="167"/>
        <item m="1" x="168"/>
        <item m="1" x="169"/>
        <item x="47"/>
        <item m="1" x="170"/>
        <item m="1" x="171"/>
        <item m="1" x="172"/>
        <item m="1" x="173"/>
        <item m="1" x="174"/>
        <item m="1" x="175"/>
        <item m="1" x="176"/>
        <item m="1" x="177"/>
        <item m="1" x="178"/>
        <item m="1" x="179"/>
        <item m="1" x="180"/>
        <item m="1" x="181"/>
        <item m="1" x="182"/>
        <item m="1" x="183"/>
        <item x="58"/>
        <item m="1" x="184"/>
        <item m="1" x="185"/>
        <item m="1" x="186"/>
        <item m="1" x="187"/>
        <item m="1" x="188"/>
        <item m="1" x="189"/>
        <item m="1" x="190"/>
        <item m="1" x="191"/>
        <item m="1" x="192"/>
        <item m="1" x="193"/>
        <item m="1" x="194"/>
        <item m="1" x="195"/>
        <item m="1" x="196"/>
        <item m="1" x="197"/>
        <item m="1" x="198"/>
        <item m="1" x="199"/>
        <item m="1" x="200"/>
        <item x="55"/>
        <item m="1" x="201"/>
        <item m="1" x="202"/>
        <item m="1" x="203"/>
        <item m="1" x="204"/>
        <item m="1" x="205"/>
        <item m="1" x="206"/>
        <item m="1" x="207"/>
        <item m="1" x="102"/>
        <item m="1" x="208"/>
        <item m="1" x="209"/>
        <item m="1" x="210"/>
        <item m="1" x="211"/>
        <item m="1" x="212"/>
        <item m="1" x="213"/>
        <item m="1" x="214"/>
        <item m="1" x="215"/>
        <item m="1" x="216"/>
        <item x="18"/>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x="51"/>
        <item m="1" x="252"/>
        <item m="1" x="253"/>
        <item m="1" x="254"/>
        <item m="1" x="255"/>
        <item m="1" x="256"/>
        <item m="1" x="257"/>
        <item m="1" x="258"/>
        <item m="1" x="259"/>
        <item m="1" x="92"/>
        <item m="1" x="260"/>
        <item m="1" x="261"/>
        <item x="45"/>
        <item x="28"/>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x="64"/>
        <item m="1" x="293"/>
        <item m="1" x="294"/>
        <item m="1" x="295"/>
        <item m="1" x="296"/>
        <item m="1" x="297"/>
        <item m="1" x="96"/>
        <item m="1" x="298"/>
        <item m="1" x="299"/>
        <item m="1" x="300"/>
        <item m="1" x="301"/>
        <item m="1" x="302"/>
        <item m="1" x="303"/>
        <item m="1" x="304"/>
        <item m="1" x="305"/>
        <item m="1" x="306"/>
        <item m="1" x="307"/>
        <item m="1" x="308"/>
        <item m="1" x="309"/>
        <item m="1" x="310"/>
        <item x="5"/>
        <item m="1" x="311"/>
        <item m="1" x="312"/>
        <item m="1" x="313"/>
        <item m="1" x="314"/>
        <item m="1" x="315"/>
        <item m="1" x="316"/>
        <item m="1" x="317"/>
        <item m="1" x="318"/>
        <item m="1" x="319"/>
        <item m="1" x="320"/>
        <item x="29"/>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x="48"/>
        <item m="1" x="388"/>
        <item m="1" x="389"/>
        <item m="1" x="390"/>
        <item m="1" x="391"/>
        <item m="1" x="392"/>
        <item x="3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x="8"/>
        <item m="1" x="438"/>
        <item m="1" x="439"/>
        <item m="1" x="440"/>
        <item x="34"/>
        <item m="1" x="441"/>
        <item m="1" x="442"/>
        <item m="1" x="443"/>
        <item m="1" x="444"/>
        <item m="1" x="84"/>
        <item m="1" x="445"/>
        <item m="1" x="446"/>
        <item x="79"/>
        <item m="1" x="447"/>
        <item m="1" x="448"/>
        <item m="1" x="104"/>
        <item m="1" x="449"/>
        <item m="1" x="450"/>
        <item m="1" x="97"/>
        <item m="1" x="93"/>
        <item m="1" x="451"/>
        <item m="1" x="80"/>
        <item m="1" x="452"/>
        <item m="1" x="453"/>
        <item m="1" x="454"/>
        <item m="1" x="455"/>
        <item m="1" x="456"/>
        <item m="1" x="83"/>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85"/>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81"/>
        <item m="1" x="8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973"/>
        <item m="1" x="666"/>
        <item m="1" x="667"/>
        <item m="1" x="668"/>
        <item m="1" x="669"/>
        <item m="1" x="974"/>
        <item m="1" x="670"/>
        <item m="1" x="975"/>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6"/>
        <item m="1" x="977"/>
        <item x="0"/>
        <item x="1"/>
        <item x="2"/>
        <item x="4"/>
        <item x="6"/>
        <item x="7"/>
        <item x="9"/>
        <item x="10"/>
        <item x="11"/>
        <item x="12"/>
        <item x="13"/>
        <item x="15"/>
        <item x="16"/>
        <item x="17"/>
        <item x="19"/>
        <item x="20"/>
        <item x="21"/>
        <item x="23"/>
        <item x="24"/>
        <item x="25"/>
        <item x="27"/>
        <item x="30"/>
        <item x="31"/>
        <item x="33"/>
        <item x="35"/>
        <item x="36"/>
        <item x="37"/>
        <item x="38"/>
        <item x="39"/>
        <item x="40"/>
        <item x="41"/>
        <item x="42"/>
        <item x="43"/>
        <item x="44"/>
        <item x="46"/>
        <item x="49"/>
        <item x="50"/>
        <item x="52"/>
        <item x="53"/>
        <item x="54"/>
        <item x="56"/>
        <item x="57"/>
        <item x="59"/>
        <item x="60"/>
        <item x="61"/>
        <item x="62"/>
        <item x="65"/>
        <item x="66"/>
        <item x="67"/>
        <item x="68"/>
        <item m="1" x="86"/>
        <item x="69"/>
        <item x="70"/>
        <item x="71"/>
        <item x="72"/>
        <item m="1" x="87"/>
        <item x="73"/>
        <item m="1" x="88"/>
        <item m="1" x="98"/>
        <item m="1" x="89"/>
        <item m="1" x="90"/>
        <item m="1" x="99"/>
        <item x="74"/>
        <item x="75"/>
        <item m="1" x="100"/>
        <item x="76"/>
        <item m="1" x="101"/>
        <item m="1" x="91"/>
        <item x="77"/>
        <item x="78"/>
        <item m="1" x="103"/>
        <item m="1" x="105"/>
        <item m="1" x="106"/>
        <item t="default"/>
      </items>
    </pivotField>
    <pivotField multipleItemSelectionAllowe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7">
        <item x="4"/>
        <item h="1" x="0"/>
        <item h="1" x="1"/>
        <item h="1" x="2"/>
        <item h="1" x="3"/>
        <item h="1" x="5"/>
        <item t="default"/>
      </items>
    </pivotField>
  </pivotFields>
  <rowItems count="1">
    <i/>
  </rowItems>
  <colItems count="1">
    <i/>
  </colItems>
  <dataFields count="1">
    <dataField name="Count of ID" fld="0" subtotal="count" baseField="0" baseItem="0" numFmtId="2"/>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05DABA26-D398-4B7A-A95A-6A9AD74CF723}" sourceName="Years (Date)">
  <pivotTables>
    <pivotTable tabId="6" name="PivotTable11"/>
    <pivotTable tabId="6" name="PivotTable16"/>
    <pivotTable tabId="6" name="PivotTable2"/>
    <pivotTable tabId="6" name="PivotTable4"/>
    <pivotTable tabId="6" name="PivotTable6"/>
    <pivotTable tabId="6" name="PivotTable7"/>
    <pivotTable tabId="6" name="PivotTable8"/>
    <pivotTable tabId="6" name="PivotTable1"/>
    <pivotTable tabId="6" name="PivotTable3"/>
  </pivotTables>
  <data>
    <tabular pivotCacheId="195959584" showMissing="0">
      <items count="6">
        <i x="1"/>
        <i x="2"/>
        <i x="3"/>
        <i x="4" s="1"/>
        <i x="0"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96CBCC1-5624-4346-AE92-2F30522AC3A1}" sourceName="Category">
  <pivotTables>
    <pivotTable tabId="6" name="PivotTable1"/>
    <pivotTable tabId="6" name="PivotTable3"/>
  </pivotTables>
  <data>
    <tabular pivotCacheId="195959584">
      <items count="4">
        <i x="1"/>
        <i x="0" s="1"/>
        <i x="2" nd="1"/>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ddə" xr10:uid="{F72DF657-47D0-463B-BD80-6B86A0D29061}" sourceName="Maddə">
  <pivotTables>
    <pivotTable tabId="6" name="PivotTable1"/>
  </pivotTables>
  <data>
    <tabular pivotCacheId="195959584">
      <items count="31">
        <i x="17" s="1"/>
        <i x="9" s="1"/>
        <i x="13" s="1"/>
        <i x="16" s="1"/>
        <i x="11" s="1"/>
        <i x="6" s="1"/>
        <i x="5" s="1"/>
        <i x="12" s="1"/>
        <i x="7" s="1"/>
        <i x="10" s="1"/>
        <i x="0" s="1"/>
        <i x="30" s="1" nd="1"/>
        <i x="18" s="1" nd="1"/>
        <i x="22" s="1" nd="1"/>
        <i x="4" s="1" nd="1"/>
        <i x="23" s="1" nd="1"/>
        <i x="28" s="1" nd="1"/>
        <i x="24" s="1" nd="1"/>
        <i x="27" s="1" nd="1"/>
        <i x="8" s="1" nd="1"/>
        <i x="1" s="1" nd="1"/>
        <i x="25" s="1" nd="1"/>
        <i x="21" s="1" nd="1"/>
        <i x="14" s="1" nd="1"/>
        <i x="3" s="1" nd="1"/>
        <i x="29" s="1" nd="1"/>
        <i x="26" s="1" nd="1"/>
        <i x="19" s="1" nd="1"/>
        <i x="2" s="1" nd="1"/>
        <i x="20"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FF16790C-C19B-4C8A-A5F7-C9868A698564}" cache="Slicer_Years__Date" caption="Year" columnCount="4" showCaption="0" style="Slicer Style 3 2" rowHeight="234950"/>
  <slicer name="Category 1" xr10:uid="{61A98488-865E-47F7-8C21-C4F35D322A95}" cache="Slicer_Category" caption="Category" columnCount="2" showCaption="0" style="Slicer Style 3 2" rowHeight="234950"/>
  <slicer name="Maddə 1" xr10:uid="{0022B894-5734-4EFD-98C6-8744C3A68E59}" cache="Slicer_Maddə" caption="Maddə" style="Slicer Style 3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0DD6222-003E-4E99-9130-95434A7BBF58}" cache="Slicer_Category" caption="Category" showCaption="0" rowHeight="234950"/>
  <slicer name="Maddə" xr10:uid="{15E29203-589C-459A-AE0E-426B6BEBB331}" cache="Slicer_Maddə" caption="Maddə"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34A52E-6B53-48BB-81CB-FA0D0BE27446}" name="Table1" displayName="Table1" ref="A1:H81" totalsRowShown="0" headerRowDxfId="9" dataDxfId="8">
  <autoFilter ref="A1:H81" xr:uid="{3F34A52E-6B53-48BB-81CB-FA0D0BE27446}"/>
  <tableColumns count="8">
    <tableColumn id="1" xr3:uid="{9C00B0DE-C7B5-4AF3-B38F-0185BB576AD4}" name="ID" dataDxfId="7"/>
    <tableColumn id="2" xr3:uid="{CDB76078-4454-43BA-9BC6-3C7D7009AE1F}" name="Date" dataDxfId="6"/>
    <tableColumn id="3" xr3:uid="{1842208F-2594-41CD-A96D-E5419FBA9B53}" name="Category" dataDxfId="5"/>
    <tableColumn id="4" xr3:uid="{20EAADBE-754F-4994-A478-00E9EA569BA9}" name="Rev/Exp ID" dataDxfId="4"/>
    <tableColumn id="5" xr3:uid="{5EFB9348-A0D7-48C9-BD63-78FD9827A823}" name="Amount" dataDxfId="3"/>
    <tableColumn id="6" xr3:uid="{8385F3BF-810E-46AB-AB32-9DD4E7F3E403}" name="Note" dataDxfId="2"/>
    <tableColumn id="8" xr3:uid="{6534E48D-CDCF-46D9-B85C-539F0220DA5E}" name="Maddə" dataDxfId="1">
      <calculatedColumnFormula>VLOOKUP(Table1[[#This Row],[Rev/Exp ID]],'Rev-Exp Source'!A:C,3,0)</calculatedColumnFormula>
    </tableColumn>
    <tableColumn id="7" xr3:uid="{9C24BF08-9C1D-4FDE-AC77-92C403DCE943}" name="Maddə Kateqoriyası" dataDxfId="0">
      <calculatedColumnFormula>VLOOKUP(Table1[[#This Row],[Rev/Exp ID]],'Rev-Exp Source'!A:B,2,0)</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D4EE0-D44B-45F7-A496-8CB1192C7EE7}">
  <sheetPr codeName="Sheet5"/>
  <dimension ref="A1:B3"/>
  <sheetViews>
    <sheetView workbookViewId="0">
      <pane ySplit="1" topLeftCell="A2" activePane="bottomLeft" state="frozen"/>
      <selection pane="bottomLeft" activeCell="C5" sqref="C5"/>
    </sheetView>
  </sheetViews>
  <sheetFormatPr defaultRowHeight="15.6" x14ac:dyDescent="0.3"/>
  <cols>
    <col min="1" max="1" width="17.77734375" style="2" customWidth="1"/>
    <col min="2" max="16384" width="8.88671875" style="2"/>
  </cols>
  <sheetData>
    <row r="1" spans="1:2" x14ac:dyDescent="0.3">
      <c r="A1" s="4" t="s">
        <v>37</v>
      </c>
      <c r="B1" s="4" t="s">
        <v>37</v>
      </c>
    </row>
    <row r="2" spans="1:2" x14ac:dyDescent="0.3">
      <c r="A2" s="2" t="s">
        <v>22</v>
      </c>
      <c r="B2" s="2" t="s">
        <v>173</v>
      </c>
    </row>
    <row r="3" spans="1:2" x14ac:dyDescent="0.3">
      <c r="A3" s="2" t="s">
        <v>23</v>
      </c>
      <c r="B3" s="2" t="s">
        <v>174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C22F8-13E8-40ED-A391-86B0C4CB62B2}">
  <sheetPr codeName="Sheet4">
    <tabColor rgb="FF92D050"/>
    <pageSetUpPr autoPageBreaks="0"/>
  </sheetPr>
  <dimension ref="B1:W20"/>
  <sheetViews>
    <sheetView showGridLines="0" showRowColHeaders="0" tabSelected="1" zoomScaleNormal="100" workbookViewId="0">
      <pane xSplit="27" ySplit="42" topLeftCell="AB43" activePane="bottomRight" state="frozen"/>
      <selection pane="topRight" activeCell="AB1" sqref="AB1"/>
      <selection pane="bottomLeft" activeCell="A43" sqref="A43"/>
      <selection pane="bottomRight"/>
    </sheetView>
  </sheetViews>
  <sheetFormatPr defaultRowHeight="14.4" x14ac:dyDescent="0.3"/>
  <cols>
    <col min="1" max="16384" width="8.88671875" style="6"/>
  </cols>
  <sheetData>
    <row r="1" spans="2:23" s="5" customFormat="1" x14ac:dyDescent="0.3"/>
    <row r="2" spans="2:23" s="5" customFormat="1" x14ac:dyDescent="0.3"/>
    <row r="3" spans="2:23" s="5" customFormat="1" x14ac:dyDescent="0.3"/>
    <row r="4" spans="2:23" s="5" customFormat="1" x14ac:dyDescent="0.3"/>
    <row r="5" spans="2:23" s="5" customFormat="1" x14ac:dyDescent="0.3">
      <c r="J5" s="14"/>
      <c r="K5" s="14"/>
      <c r="L5" s="14"/>
      <c r="M5" s="14"/>
      <c r="N5" s="14"/>
      <c r="O5" s="14"/>
    </row>
    <row r="6" spans="2:23" s="5" customFormat="1" x14ac:dyDescent="0.3">
      <c r="J6" s="14"/>
      <c r="K6" s="14"/>
      <c r="L6" s="14"/>
      <c r="M6" s="14"/>
      <c r="N6" s="14"/>
      <c r="O6" s="14"/>
    </row>
    <row r="7" spans="2:23" x14ac:dyDescent="0.3">
      <c r="B7" s="7"/>
      <c r="C7" s="7"/>
      <c r="D7" s="7"/>
      <c r="E7" s="7"/>
      <c r="U7" s="7"/>
      <c r="V7" s="7"/>
      <c r="W7" s="7"/>
    </row>
    <row r="8" spans="2:23" x14ac:dyDescent="0.3">
      <c r="B8" s="7"/>
      <c r="C8" s="7"/>
      <c r="D8" s="7"/>
      <c r="E8" s="7"/>
      <c r="U8" s="7"/>
      <c r="V8" s="7"/>
      <c r="W8" s="7"/>
    </row>
    <row r="9" spans="2:23" x14ac:dyDescent="0.3">
      <c r="B9" s="7"/>
      <c r="C9" s="7"/>
      <c r="D9" s="7"/>
      <c r="E9" s="7"/>
      <c r="U9" s="7"/>
      <c r="V9" s="7"/>
      <c r="W9" s="7"/>
    </row>
    <row r="10" spans="2:23" x14ac:dyDescent="0.3">
      <c r="B10" s="7"/>
      <c r="C10" s="7"/>
      <c r="D10" s="7"/>
      <c r="E10" s="7"/>
      <c r="U10" s="7"/>
      <c r="V10" s="7"/>
      <c r="W10" s="7"/>
    </row>
    <row r="11" spans="2:23" x14ac:dyDescent="0.3">
      <c r="B11" s="7"/>
      <c r="C11" s="7"/>
      <c r="D11" s="7"/>
      <c r="E11" s="7"/>
      <c r="U11" s="7"/>
      <c r="V11" s="7"/>
      <c r="W11" s="7"/>
    </row>
    <row r="12" spans="2:23" x14ac:dyDescent="0.3">
      <c r="B12" s="7"/>
      <c r="C12" s="7"/>
      <c r="D12" s="7"/>
      <c r="E12" s="7"/>
      <c r="U12" s="7"/>
      <c r="V12" s="7"/>
      <c r="W12" s="7"/>
    </row>
    <row r="13" spans="2:23" x14ac:dyDescent="0.3">
      <c r="B13" s="7"/>
      <c r="C13" s="7"/>
      <c r="D13" s="7"/>
      <c r="E13" s="7"/>
      <c r="U13" s="7"/>
      <c r="V13" s="7"/>
      <c r="W13" s="7"/>
    </row>
    <row r="14" spans="2:23" x14ac:dyDescent="0.3">
      <c r="B14" s="7"/>
      <c r="C14" s="7"/>
      <c r="D14" s="7"/>
      <c r="E14" s="7"/>
      <c r="U14" s="7"/>
      <c r="V14" s="7"/>
      <c r="W14" s="7"/>
    </row>
    <row r="15" spans="2:23" x14ac:dyDescent="0.3">
      <c r="B15" s="7"/>
      <c r="C15" s="7"/>
      <c r="D15" s="7"/>
      <c r="E15" s="7"/>
      <c r="U15" s="7"/>
      <c r="V15" s="7"/>
      <c r="W15" s="7"/>
    </row>
    <row r="16" spans="2:23" x14ac:dyDescent="0.3">
      <c r="B16" s="7"/>
      <c r="C16" s="7"/>
      <c r="D16" s="7"/>
      <c r="E16" s="7"/>
      <c r="U16" s="7"/>
      <c r="V16" s="7"/>
      <c r="W16" s="7"/>
    </row>
    <row r="17" spans="2:23" x14ac:dyDescent="0.3">
      <c r="B17" s="7"/>
      <c r="C17" s="7"/>
      <c r="D17" s="7"/>
      <c r="E17" s="7"/>
      <c r="U17" s="7"/>
      <c r="V17" s="7"/>
      <c r="W17" s="7"/>
    </row>
    <row r="18" spans="2:23" x14ac:dyDescent="0.3">
      <c r="B18" s="7"/>
      <c r="C18" s="7"/>
      <c r="D18" s="7"/>
      <c r="E18" s="7"/>
      <c r="U18" s="7"/>
      <c r="V18" s="7"/>
      <c r="W18" s="7"/>
    </row>
    <row r="19" spans="2:23" x14ac:dyDescent="0.3">
      <c r="B19" s="7"/>
      <c r="C19" s="7"/>
      <c r="D19" s="7"/>
      <c r="E19" s="7"/>
      <c r="U19" s="7"/>
      <c r="V19" s="7"/>
      <c r="W19" s="7"/>
    </row>
    <row r="20" spans="2:23" x14ac:dyDescent="0.3">
      <c r="B20" s="7"/>
      <c r="C20" s="7"/>
      <c r="D20" s="7"/>
      <c r="E20" s="7"/>
      <c r="U20" s="7"/>
      <c r="V20" s="7"/>
      <c r="W20" s="7"/>
    </row>
  </sheetData>
  <sheetProtection algorithmName="SHA-512" hashValue="bSx8YtU3ysz4VDhq/JwnglXYV4J6YfmG8IgXI5v0sCRIpa126DdXOXNQj+BeXjNpQc0I9+3ghdxnWyMPI/MzUQ==" saltValue="MVktn6SpzvKUzw4bex3Hsg==" spinCount="100000" sheet="1" objects="1" scenarios="1" selectLockedCells="1" selectUnlockedCells="1"/>
  <mergeCells count="3">
    <mergeCell ref="J5:K6"/>
    <mergeCell ref="L5:M6"/>
    <mergeCell ref="N5:O6"/>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8CB33-3FDD-45B0-8CBB-8B963C27ECA3}">
  <sheetPr codeName="Sheet6"/>
  <dimension ref="A2:AV23"/>
  <sheetViews>
    <sheetView topLeftCell="AD1" zoomScale="85" zoomScaleNormal="85" workbookViewId="0">
      <selection activeCell="AT1" sqref="AT1"/>
    </sheetView>
  </sheetViews>
  <sheetFormatPr defaultRowHeight="14.4" x14ac:dyDescent="0.3"/>
  <cols>
    <col min="1" max="1" width="13.44140625" bestFit="1" customWidth="1"/>
    <col min="2" max="2" width="15.109375" bestFit="1" customWidth="1"/>
    <col min="3" max="3" width="8.33203125" bestFit="1" customWidth="1"/>
    <col min="4" max="4" width="10.77734375" bestFit="1" customWidth="1"/>
    <col min="5" max="5" width="11" bestFit="1" customWidth="1"/>
    <col min="6" max="6" width="7.21875" bestFit="1" customWidth="1"/>
    <col min="7" max="7" width="10.77734375" bestFit="1" customWidth="1"/>
    <col min="8" max="8" width="10.109375" bestFit="1" customWidth="1"/>
    <col min="9" max="9" width="13.44140625" bestFit="1" customWidth="1"/>
    <col min="10" max="10" width="15.109375" bestFit="1" customWidth="1"/>
    <col min="11" max="11" width="10.109375" bestFit="1" customWidth="1"/>
    <col min="12" max="12" width="11.33203125" bestFit="1" customWidth="1"/>
    <col min="13" max="13" width="10.109375" bestFit="1" customWidth="1"/>
    <col min="14" max="14" width="15.109375" bestFit="1" customWidth="1"/>
    <col min="15" max="15" width="16.44140625" bestFit="1" customWidth="1"/>
    <col min="16" max="16" width="4.77734375" bestFit="1" customWidth="1"/>
    <col min="17" max="17" width="8.33203125" bestFit="1" customWidth="1"/>
    <col min="20" max="20" width="15.109375" bestFit="1" customWidth="1"/>
    <col min="21" max="21" width="16.44140625" bestFit="1" customWidth="1"/>
    <col min="22" max="22" width="4.77734375" bestFit="1" customWidth="1"/>
    <col min="23" max="23" width="8.33203125" bestFit="1" customWidth="1"/>
    <col min="26" max="26" width="17.21875" bestFit="1" customWidth="1"/>
    <col min="27" max="27" width="16.44140625" bestFit="1" customWidth="1"/>
    <col min="28" max="28" width="4.77734375" bestFit="1" customWidth="1"/>
    <col min="29" max="29" width="8.33203125" bestFit="1" customWidth="1"/>
    <col min="32" max="32" width="17.21875" bestFit="1" customWidth="1"/>
    <col min="33" max="33" width="15.109375" bestFit="1" customWidth="1"/>
    <col min="34" max="34" width="8.21875" bestFit="1" customWidth="1"/>
    <col min="35" max="35" width="11.33203125" bestFit="1" customWidth="1"/>
    <col min="36" max="36" width="10.21875" bestFit="1" customWidth="1"/>
    <col min="37" max="37" width="4.88671875" bestFit="1" customWidth="1"/>
    <col min="38" max="38" width="10.77734375" bestFit="1" customWidth="1"/>
    <col min="47" max="47" width="13.44140625" bestFit="1" customWidth="1"/>
    <col min="48" max="48" width="15.109375" bestFit="1" customWidth="1"/>
  </cols>
  <sheetData>
    <row r="2" spans="1:48" x14ac:dyDescent="0.3">
      <c r="E2" s="8" t="s">
        <v>7</v>
      </c>
      <c r="F2" t="s">
        <v>174</v>
      </c>
      <c r="N2" s="8" t="s">
        <v>27</v>
      </c>
      <c r="O2" t="s">
        <v>24</v>
      </c>
    </row>
    <row r="4" spans="1:48" x14ac:dyDescent="0.3">
      <c r="A4" s="8" t="s">
        <v>19</v>
      </c>
      <c r="B4" t="s">
        <v>21</v>
      </c>
      <c r="E4" t="s">
        <v>21</v>
      </c>
      <c r="I4" s="8" t="s">
        <v>19</v>
      </c>
      <c r="J4" t="s">
        <v>21</v>
      </c>
      <c r="N4" s="8" t="s">
        <v>21</v>
      </c>
      <c r="O4" s="8" t="s">
        <v>25</v>
      </c>
      <c r="T4" s="8" t="s">
        <v>21</v>
      </c>
      <c r="U4" s="8" t="s">
        <v>25</v>
      </c>
      <c r="Z4" s="8" t="s">
        <v>21</v>
      </c>
      <c r="AA4" s="8" t="s">
        <v>25</v>
      </c>
    </row>
    <row r="5" spans="1:48" x14ac:dyDescent="0.3">
      <c r="A5" s="9" t="s">
        <v>173</v>
      </c>
      <c r="B5" s="15">
        <v>4051</v>
      </c>
      <c r="E5" s="10">
        <v>278</v>
      </c>
      <c r="I5" s="9" t="s">
        <v>175</v>
      </c>
      <c r="J5" s="15">
        <v>1013</v>
      </c>
      <c r="N5" s="8" t="s">
        <v>19</v>
      </c>
      <c r="O5" t="s">
        <v>173</v>
      </c>
      <c r="P5" t="s">
        <v>174</v>
      </c>
      <c r="T5" s="8" t="s">
        <v>19</v>
      </c>
      <c r="U5" t="s">
        <v>173</v>
      </c>
      <c r="V5" t="s">
        <v>174</v>
      </c>
      <c r="Z5" s="8" t="s">
        <v>19</v>
      </c>
      <c r="AA5" t="s">
        <v>173</v>
      </c>
      <c r="AB5" t="s">
        <v>174</v>
      </c>
      <c r="AF5" s="8" t="s">
        <v>19</v>
      </c>
      <c r="AG5" t="s">
        <v>21</v>
      </c>
    </row>
    <row r="6" spans="1:48" x14ac:dyDescent="0.3">
      <c r="A6" s="9" t="s">
        <v>174</v>
      </c>
      <c r="B6" s="15">
        <v>278</v>
      </c>
      <c r="E6" s="11">
        <f>GETPIVOTDATA("Amount",$E$4)</f>
        <v>278</v>
      </c>
      <c r="I6" s="9" t="s">
        <v>176</v>
      </c>
      <c r="J6" s="15">
        <v>1286</v>
      </c>
      <c r="N6" s="9" t="s">
        <v>178</v>
      </c>
      <c r="O6" s="15">
        <v>306</v>
      </c>
      <c r="P6" s="15">
        <v>13</v>
      </c>
      <c r="T6" s="9" t="s">
        <v>44</v>
      </c>
      <c r="U6" s="15"/>
      <c r="V6" s="15">
        <v>36</v>
      </c>
      <c r="Z6" s="9" t="s">
        <v>51</v>
      </c>
      <c r="AA6" s="15"/>
      <c r="AB6" s="15">
        <v>1</v>
      </c>
      <c r="AF6" s="9" t="s">
        <v>55</v>
      </c>
      <c r="AG6" s="15">
        <v>35</v>
      </c>
      <c r="AU6" s="8" t="s">
        <v>19</v>
      </c>
      <c r="AV6" t="s">
        <v>21</v>
      </c>
    </row>
    <row r="7" spans="1:48" x14ac:dyDescent="0.3">
      <c r="A7" s="9" t="s">
        <v>20</v>
      </c>
      <c r="B7" s="15">
        <v>4329</v>
      </c>
      <c r="I7" s="9" t="s">
        <v>177</v>
      </c>
      <c r="J7" s="15">
        <v>1211</v>
      </c>
      <c r="N7" s="9" t="s">
        <v>28</v>
      </c>
      <c r="O7" s="15">
        <v>7</v>
      </c>
      <c r="P7" s="15">
        <v>5</v>
      </c>
      <c r="T7" s="9" t="s">
        <v>85</v>
      </c>
      <c r="U7" s="15">
        <v>576</v>
      </c>
      <c r="V7" s="15"/>
      <c r="Z7" s="9" t="s">
        <v>83</v>
      </c>
      <c r="AA7" s="15">
        <v>3007</v>
      </c>
      <c r="AB7" s="15"/>
      <c r="AF7" s="9" t="s">
        <v>46</v>
      </c>
      <c r="AG7" s="15">
        <v>44</v>
      </c>
      <c r="AU7" s="9" t="s">
        <v>44</v>
      </c>
      <c r="AV7" s="15">
        <v>36</v>
      </c>
    </row>
    <row r="8" spans="1:48" x14ac:dyDescent="0.3">
      <c r="I8" s="9" t="s">
        <v>24</v>
      </c>
      <c r="J8" s="15">
        <v>4329</v>
      </c>
      <c r="N8" s="9" t="s">
        <v>29</v>
      </c>
      <c r="O8" s="15">
        <v>85</v>
      </c>
      <c r="P8" s="15">
        <v>1</v>
      </c>
      <c r="T8" s="9" t="s">
        <v>42</v>
      </c>
      <c r="U8" s="15"/>
      <c r="V8" s="15">
        <v>91</v>
      </c>
      <c r="Z8" s="9" t="s">
        <v>48</v>
      </c>
      <c r="AA8" s="15"/>
      <c r="AB8" s="15">
        <v>24</v>
      </c>
      <c r="AF8" s="9" t="s">
        <v>52</v>
      </c>
      <c r="AG8" s="15">
        <v>27</v>
      </c>
      <c r="AU8" s="9" t="s">
        <v>39</v>
      </c>
      <c r="AV8" s="15">
        <v>151</v>
      </c>
    </row>
    <row r="9" spans="1:48" x14ac:dyDescent="0.3">
      <c r="I9" s="9" t="s">
        <v>20</v>
      </c>
      <c r="J9" s="15">
        <v>7839</v>
      </c>
      <c r="N9" s="9" t="s">
        <v>30</v>
      </c>
      <c r="O9" s="15">
        <v>336</v>
      </c>
      <c r="P9" s="15"/>
      <c r="T9" s="9" t="s">
        <v>88</v>
      </c>
      <c r="U9" s="15">
        <v>468</v>
      </c>
      <c r="V9" s="15"/>
      <c r="Z9" s="9" t="s">
        <v>40</v>
      </c>
      <c r="AA9" s="15"/>
      <c r="AB9" s="15">
        <v>44</v>
      </c>
      <c r="AF9" s="9" t="s">
        <v>57</v>
      </c>
      <c r="AG9" s="15">
        <v>36</v>
      </c>
      <c r="AU9" s="9" t="s">
        <v>42</v>
      </c>
      <c r="AV9" s="15">
        <v>91</v>
      </c>
    </row>
    <row r="10" spans="1:48" x14ac:dyDescent="0.3">
      <c r="N10" s="9" t="s">
        <v>26</v>
      </c>
      <c r="O10" s="15">
        <v>155</v>
      </c>
      <c r="P10" s="15">
        <v>51</v>
      </c>
      <c r="T10" s="9" t="s">
        <v>39</v>
      </c>
      <c r="U10" s="15"/>
      <c r="V10" s="15">
        <v>151</v>
      </c>
      <c r="Z10" s="9" t="s">
        <v>47</v>
      </c>
      <c r="AA10" s="15"/>
      <c r="AB10" s="15">
        <v>24</v>
      </c>
      <c r="AF10" s="9" t="s">
        <v>41</v>
      </c>
      <c r="AG10" s="15">
        <v>5</v>
      </c>
      <c r="AU10" s="9" t="s">
        <v>20</v>
      </c>
      <c r="AV10" s="15">
        <v>278</v>
      </c>
    </row>
    <row r="11" spans="1:48" x14ac:dyDescent="0.3">
      <c r="E11" t="s">
        <v>35</v>
      </c>
      <c r="N11" s="9" t="s">
        <v>31</v>
      </c>
      <c r="O11" s="15"/>
      <c r="P11" s="15">
        <v>44</v>
      </c>
      <c r="T11" s="9" t="s">
        <v>82</v>
      </c>
      <c r="U11" s="15">
        <v>3007</v>
      </c>
      <c r="V11" s="15"/>
      <c r="Z11" s="9" t="s">
        <v>88</v>
      </c>
      <c r="AA11" s="15">
        <v>468</v>
      </c>
      <c r="AB11" s="15"/>
      <c r="AF11" s="9" t="s">
        <v>40</v>
      </c>
      <c r="AG11" s="15">
        <v>44</v>
      </c>
    </row>
    <row r="12" spans="1:48" x14ac:dyDescent="0.3">
      <c r="E12" s="12">
        <v>20</v>
      </c>
      <c r="N12" s="9" t="s">
        <v>32</v>
      </c>
      <c r="O12" s="15"/>
      <c r="P12" s="15">
        <v>59</v>
      </c>
      <c r="Z12" s="9" t="s">
        <v>46</v>
      </c>
      <c r="AA12" s="15"/>
      <c r="AB12" s="15">
        <v>44</v>
      </c>
      <c r="AF12" s="9" t="s">
        <v>48</v>
      </c>
      <c r="AG12" s="15">
        <v>24</v>
      </c>
    </row>
    <row r="13" spans="1:48" x14ac:dyDescent="0.3">
      <c r="E13">
        <f>GETPIVOTDATA("ID",$E$11)</f>
        <v>20</v>
      </c>
      <c r="N13" s="9" t="s">
        <v>16</v>
      </c>
      <c r="O13" s="15"/>
      <c r="P13" s="15">
        <v>90</v>
      </c>
      <c r="Z13" s="9" t="s">
        <v>49</v>
      </c>
      <c r="AA13" s="15"/>
      <c r="AB13" s="15">
        <v>10</v>
      </c>
      <c r="AF13" s="9" t="s">
        <v>53</v>
      </c>
      <c r="AG13" s="15">
        <v>28</v>
      </c>
    </row>
    <row r="14" spans="1:48" x14ac:dyDescent="0.3">
      <c r="N14" s="9" t="s">
        <v>5</v>
      </c>
      <c r="O14" s="15">
        <v>3162</v>
      </c>
      <c r="P14" s="15">
        <v>15</v>
      </c>
      <c r="Z14" s="9" t="s">
        <v>41</v>
      </c>
      <c r="AA14" s="15"/>
      <c r="AB14" s="15">
        <v>5</v>
      </c>
      <c r="AF14" s="9" t="s">
        <v>47</v>
      </c>
      <c r="AG14" s="15">
        <v>24</v>
      </c>
    </row>
    <row r="15" spans="1:48" x14ac:dyDescent="0.3">
      <c r="E15" s="8" t="s">
        <v>7</v>
      </c>
      <c r="F15" t="s">
        <v>173</v>
      </c>
      <c r="Z15" s="9" t="s">
        <v>53</v>
      </c>
      <c r="AA15" s="15"/>
      <c r="AB15" s="15">
        <v>28</v>
      </c>
      <c r="AF15" s="9" t="s">
        <v>49</v>
      </c>
      <c r="AG15" s="15">
        <v>10</v>
      </c>
    </row>
    <row r="16" spans="1:48" x14ac:dyDescent="0.3">
      <c r="Z16" s="9" t="s">
        <v>52</v>
      </c>
      <c r="AA16" s="15"/>
      <c r="AB16" s="15">
        <v>27</v>
      </c>
      <c r="AF16" s="9" t="s">
        <v>51</v>
      </c>
      <c r="AG16" s="15">
        <v>1</v>
      </c>
    </row>
    <row r="17" spans="5:33" x14ac:dyDescent="0.3">
      <c r="E17" t="s">
        <v>21</v>
      </c>
      <c r="Z17" s="9" t="s">
        <v>87</v>
      </c>
      <c r="AA17" s="15">
        <v>491</v>
      </c>
      <c r="AB17" s="15"/>
      <c r="AF17" s="9" t="s">
        <v>20</v>
      </c>
      <c r="AG17" s="15">
        <v>278</v>
      </c>
    </row>
    <row r="18" spans="5:33" x14ac:dyDescent="0.3">
      <c r="E18" s="12">
        <v>4051</v>
      </c>
      <c r="Z18" s="9" t="s">
        <v>57</v>
      </c>
      <c r="AA18" s="15"/>
      <c r="AB18" s="15">
        <v>36</v>
      </c>
    </row>
    <row r="19" spans="5:33" x14ac:dyDescent="0.3">
      <c r="E19" s="11">
        <f>GETPIVOTDATA("Amount",$E$17)</f>
        <v>4051</v>
      </c>
      <c r="Z19" s="9" t="s">
        <v>55</v>
      </c>
      <c r="AA19" s="15"/>
      <c r="AB19" s="15">
        <v>35</v>
      </c>
    </row>
    <row r="20" spans="5:33" x14ac:dyDescent="0.3">
      <c r="Z20" s="9" t="s">
        <v>86</v>
      </c>
      <c r="AA20" s="15">
        <v>85</v>
      </c>
      <c r="AB20" s="15"/>
    </row>
    <row r="22" spans="5:33" x14ac:dyDescent="0.3">
      <c r="E22" t="s">
        <v>36</v>
      </c>
    </row>
    <row r="23" spans="5:33" x14ac:dyDescent="0.3">
      <c r="E23" s="13">
        <f>E19-E6</f>
        <v>3773</v>
      </c>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1347-3395-4AFF-B4A3-71B703C47FE1}">
  <sheetPr codeName="Sheet1"/>
  <dimension ref="A1:E316"/>
  <sheetViews>
    <sheetView workbookViewId="0">
      <pane ySplit="1" topLeftCell="A287" activePane="bottomLeft" state="frozen"/>
      <selection pane="bottomLeft" activeCell="C314" sqref="C314"/>
    </sheetView>
  </sheetViews>
  <sheetFormatPr defaultRowHeight="15.6" x14ac:dyDescent="0.3"/>
  <cols>
    <col min="1" max="5" width="13.44140625" style="2" customWidth="1"/>
    <col min="6" max="16384" width="8.88671875" style="2"/>
  </cols>
  <sheetData>
    <row r="1" spans="1:5" x14ac:dyDescent="0.3">
      <c r="A1" s="1" t="s">
        <v>0</v>
      </c>
      <c r="B1" s="1" t="s">
        <v>1</v>
      </c>
      <c r="C1" s="1" t="s">
        <v>3</v>
      </c>
      <c r="D1" s="1" t="s">
        <v>4</v>
      </c>
      <c r="E1" s="1" t="s">
        <v>2</v>
      </c>
    </row>
    <row r="2" spans="1:5" x14ac:dyDescent="0.3">
      <c r="A2" s="3">
        <v>45139</v>
      </c>
      <c r="B2" s="2">
        <v>8</v>
      </c>
      <c r="C2" s="2" t="s">
        <v>14</v>
      </c>
      <c r="D2" s="2">
        <v>2023</v>
      </c>
      <c r="E2" s="2">
        <v>202308</v>
      </c>
    </row>
    <row r="3" spans="1:5" x14ac:dyDescent="0.3">
      <c r="A3" s="3">
        <v>45140</v>
      </c>
      <c r="B3" s="2">
        <v>8</v>
      </c>
      <c r="C3" s="2" t="s">
        <v>14</v>
      </c>
      <c r="D3" s="2">
        <v>2023</v>
      </c>
      <c r="E3" s="2">
        <v>202308</v>
      </c>
    </row>
    <row r="4" spans="1:5" x14ac:dyDescent="0.3">
      <c r="A4" s="3">
        <v>45141</v>
      </c>
      <c r="B4" s="2">
        <v>8</v>
      </c>
      <c r="C4" s="2" t="s">
        <v>14</v>
      </c>
      <c r="D4" s="2">
        <v>2023</v>
      </c>
      <c r="E4" s="2">
        <v>202308</v>
      </c>
    </row>
    <row r="5" spans="1:5" x14ac:dyDescent="0.3">
      <c r="A5" s="3">
        <v>45142</v>
      </c>
      <c r="B5" s="2">
        <v>8</v>
      </c>
      <c r="C5" s="2" t="s">
        <v>14</v>
      </c>
      <c r="D5" s="2">
        <v>2023</v>
      </c>
      <c r="E5" s="2">
        <v>202308</v>
      </c>
    </row>
    <row r="6" spans="1:5" x14ac:dyDescent="0.3">
      <c r="A6" s="3">
        <v>45143</v>
      </c>
      <c r="B6" s="2">
        <v>8</v>
      </c>
      <c r="C6" s="2" t="s">
        <v>14</v>
      </c>
      <c r="D6" s="2">
        <v>2023</v>
      </c>
      <c r="E6" s="2">
        <v>202308</v>
      </c>
    </row>
    <row r="7" spans="1:5" x14ac:dyDescent="0.3">
      <c r="A7" s="3">
        <v>45144</v>
      </c>
      <c r="B7" s="2">
        <v>8</v>
      </c>
      <c r="C7" s="2" t="s">
        <v>14</v>
      </c>
      <c r="D7" s="2">
        <v>2023</v>
      </c>
      <c r="E7" s="2">
        <v>202308</v>
      </c>
    </row>
    <row r="8" spans="1:5" x14ac:dyDescent="0.3">
      <c r="A8" s="3">
        <v>45145</v>
      </c>
      <c r="B8" s="2">
        <v>8</v>
      </c>
      <c r="C8" s="2" t="s">
        <v>14</v>
      </c>
      <c r="D8" s="2">
        <v>2023</v>
      </c>
      <c r="E8" s="2">
        <v>202308</v>
      </c>
    </row>
    <row r="9" spans="1:5" x14ac:dyDescent="0.3">
      <c r="A9" s="3">
        <v>45146</v>
      </c>
      <c r="B9" s="2">
        <v>8</v>
      </c>
      <c r="C9" s="2" t="s">
        <v>14</v>
      </c>
      <c r="D9" s="2">
        <v>2023</v>
      </c>
      <c r="E9" s="2">
        <v>202308</v>
      </c>
    </row>
    <row r="10" spans="1:5" x14ac:dyDescent="0.3">
      <c r="A10" s="3">
        <v>45147</v>
      </c>
      <c r="B10" s="2">
        <v>8</v>
      </c>
      <c r="C10" s="2" t="s">
        <v>14</v>
      </c>
      <c r="D10" s="2">
        <v>2023</v>
      </c>
      <c r="E10" s="2">
        <v>202308</v>
      </c>
    </row>
    <row r="11" spans="1:5" x14ac:dyDescent="0.3">
      <c r="A11" s="3">
        <v>45148</v>
      </c>
      <c r="B11" s="2">
        <v>8</v>
      </c>
      <c r="C11" s="2" t="s">
        <v>14</v>
      </c>
      <c r="D11" s="2">
        <v>2023</v>
      </c>
      <c r="E11" s="2">
        <v>202308</v>
      </c>
    </row>
    <row r="12" spans="1:5" x14ac:dyDescent="0.3">
      <c r="A12" s="3">
        <v>45149</v>
      </c>
      <c r="B12" s="2">
        <v>8</v>
      </c>
      <c r="C12" s="2" t="s">
        <v>14</v>
      </c>
      <c r="D12" s="2">
        <v>2023</v>
      </c>
      <c r="E12" s="2">
        <v>202308</v>
      </c>
    </row>
    <row r="13" spans="1:5" x14ac:dyDescent="0.3">
      <c r="A13" s="3">
        <v>45150</v>
      </c>
      <c r="B13" s="2">
        <v>8</v>
      </c>
      <c r="C13" s="2" t="s">
        <v>14</v>
      </c>
      <c r="D13" s="2">
        <v>2023</v>
      </c>
      <c r="E13" s="2">
        <v>202308</v>
      </c>
    </row>
    <row r="14" spans="1:5" x14ac:dyDescent="0.3">
      <c r="A14" s="3">
        <v>45151</v>
      </c>
      <c r="B14" s="2">
        <v>8</v>
      </c>
      <c r="C14" s="2" t="s">
        <v>14</v>
      </c>
      <c r="D14" s="2">
        <v>2023</v>
      </c>
      <c r="E14" s="2">
        <v>202308</v>
      </c>
    </row>
    <row r="15" spans="1:5" x14ac:dyDescent="0.3">
      <c r="A15" s="3">
        <v>45152</v>
      </c>
      <c r="B15" s="2">
        <v>8</v>
      </c>
      <c r="C15" s="2" t="s">
        <v>14</v>
      </c>
      <c r="D15" s="2">
        <v>2023</v>
      </c>
      <c r="E15" s="2">
        <v>202308</v>
      </c>
    </row>
    <row r="16" spans="1:5" x14ac:dyDescent="0.3">
      <c r="A16" s="3">
        <v>45153</v>
      </c>
      <c r="B16" s="2">
        <v>8</v>
      </c>
      <c r="C16" s="2" t="s">
        <v>14</v>
      </c>
      <c r="D16" s="2">
        <v>2023</v>
      </c>
      <c r="E16" s="2">
        <v>202308</v>
      </c>
    </row>
    <row r="17" spans="1:5" x14ac:dyDescent="0.3">
      <c r="A17" s="3">
        <v>45154</v>
      </c>
      <c r="B17" s="2">
        <v>8</v>
      </c>
      <c r="C17" s="2" t="s">
        <v>14</v>
      </c>
      <c r="D17" s="2">
        <v>2023</v>
      </c>
      <c r="E17" s="2">
        <v>202308</v>
      </c>
    </row>
    <row r="18" spans="1:5" x14ac:dyDescent="0.3">
      <c r="A18" s="3">
        <v>45155</v>
      </c>
      <c r="B18" s="2">
        <v>8</v>
      </c>
      <c r="C18" s="2" t="s">
        <v>14</v>
      </c>
      <c r="D18" s="2">
        <v>2023</v>
      </c>
      <c r="E18" s="2">
        <v>202308</v>
      </c>
    </row>
    <row r="19" spans="1:5" x14ac:dyDescent="0.3">
      <c r="A19" s="3">
        <v>45156</v>
      </c>
      <c r="B19" s="2">
        <v>8</v>
      </c>
      <c r="C19" s="2" t="s">
        <v>14</v>
      </c>
      <c r="D19" s="2">
        <v>2023</v>
      </c>
      <c r="E19" s="2">
        <v>202308</v>
      </c>
    </row>
    <row r="20" spans="1:5" x14ac:dyDescent="0.3">
      <c r="A20" s="3">
        <v>45157</v>
      </c>
      <c r="B20" s="2">
        <v>8</v>
      </c>
      <c r="C20" s="2" t="s">
        <v>14</v>
      </c>
      <c r="D20" s="2">
        <v>2023</v>
      </c>
      <c r="E20" s="2">
        <v>202308</v>
      </c>
    </row>
    <row r="21" spans="1:5" x14ac:dyDescent="0.3">
      <c r="A21" s="3">
        <v>45158</v>
      </c>
      <c r="B21" s="2">
        <v>8</v>
      </c>
      <c r="C21" s="2" t="s">
        <v>14</v>
      </c>
      <c r="D21" s="2">
        <v>2023</v>
      </c>
      <c r="E21" s="2">
        <v>202308</v>
      </c>
    </row>
    <row r="22" spans="1:5" x14ac:dyDescent="0.3">
      <c r="A22" s="3">
        <v>45159</v>
      </c>
      <c r="B22" s="2">
        <v>8</v>
      </c>
      <c r="C22" s="2" t="s">
        <v>14</v>
      </c>
      <c r="D22" s="2">
        <v>2023</v>
      </c>
      <c r="E22" s="2">
        <v>202308</v>
      </c>
    </row>
    <row r="23" spans="1:5" x14ac:dyDescent="0.3">
      <c r="A23" s="3">
        <v>45160</v>
      </c>
      <c r="B23" s="2">
        <v>8</v>
      </c>
      <c r="C23" s="2" t="s">
        <v>14</v>
      </c>
      <c r="D23" s="2">
        <v>2023</v>
      </c>
      <c r="E23" s="2">
        <v>202308</v>
      </c>
    </row>
    <row r="24" spans="1:5" x14ac:dyDescent="0.3">
      <c r="A24" s="3">
        <v>45161</v>
      </c>
      <c r="B24" s="2">
        <v>8</v>
      </c>
      <c r="C24" s="2" t="s">
        <v>14</v>
      </c>
      <c r="D24" s="2">
        <v>2023</v>
      </c>
      <c r="E24" s="2">
        <v>202308</v>
      </c>
    </row>
    <row r="25" spans="1:5" x14ac:dyDescent="0.3">
      <c r="A25" s="3">
        <v>45162</v>
      </c>
      <c r="B25" s="2">
        <v>8</v>
      </c>
      <c r="C25" s="2" t="s">
        <v>14</v>
      </c>
      <c r="D25" s="2">
        <v>2023</v>
      </c>
      <c r="E25" s="2">
        <v>202308</v>
      </c>
    </row>
    <row r="26" spans="1:5" x14ac:dyDescent="0.3">
      <c r="A26" s="3">
        <v>45163</v>
      </c>
      <c r="B26" s="2">
        <v>8</v>
      </c>
      <c r="C26" s="2" t="s">
        <v>14</v>
      </c>
      <c r="D26" s="2">
        <v>2023</v>
      </c>
      <c r="E26" s="2">
        <v>202308</v>
      </c>
    </row>
    <row r="27" spans="1:5" x14ac:dyDescent="0.3">
      <c r="A27" s="3">
        <v>45164</v>
      </c>
      <c r="B27" s="2">
        <v>8</v>
      </c>
      <c r="C27" s="2" t="s">
        <v>14</v>
      </c>
      <c r="D27" s="2">
        <v>2023</v>
      </c>
      <c r="E27" s="2">
        <v>202308</v>
      </c>
    </row>
    <row r="28" spans="1:5" x14ac:dyDescent="0.3">
      <c r="A28" s="3">
        <v>45165</v>
      </c>
      <c r="B28" s="2">
        <v>8</v>
      </c>
      <c r="C28" s="2" t="s">
        <v>14</v>
      </c>
      <c r="D28" s="2">
        <v>2023</v>
      </c>
      <c r="E28" s="2">
        <v>202308</v>
      </c>
    </row>
    <row r="29" spans="1:5" x14ac:dyDescent="0.3">
      <c r="A29" s="3">
        <v>45166</v>
      </c>
      <c r="B29" s="2">
        <v>8</v>
      </c>
      <c r="C29" s="2" t="s">
        <v>14</v>
      </c>
      <c r="D29" s="2">
        <v>2023</v>
      </c>
      <c r="E29" s="2">
        <v>202308</v>
      </c>
    </row>
    <row r="30" spans="1:5" x14ac:dyDescent="0.3">
      <c r="A30" s="3">
        <v>45167</v>
      </c>
      <c r="B30" s="2">
        <v>8</v>
      </c>
      <c r="C30" s="2" t="s">
        <v>14</v>
      </c>
      <c r="D30" s="2">
        <v>2023</v>
      </c>
      <c r="E30" s="2">
        <v>202308</v>
      </c>
    </row>
    <row r="31" spans="1:5" x14ac:dyDescent="0.3">
      <c r="A31" s="3">
        <v>45168</v>
      </c>
      <c r="B31" s="2">
        <v>8</v>
      </c>
      <c r="C31" s="2" t="s">
        <v>14</v>
      </c>
      <c r="D31" s="2">
        <v>2023</v>
      </c>
      <c r="E31" s="2">
        <v>202308</v>
      </c>
    </row>
    <row r="32" spans="1:5" x14ac:dyDescent="0.3">
      <c r="A32" s="3">
        <v>45169</v>
      </c>
      <c r="B32" s="2">
        <v>8</v>
      </c>
      <c r="C32" s="2" t="s">
        <v>14</v>
      </c>
      <c r="D32" s="2">
        <v>2023</v>
      </c>
      <c r="E32" s="2">
        <v>202308</v>
      </c>
    </row>
    <row r="33" spans="1:5" x14ac:dyDescent="0.3">
      <c r="A33" s="3">
        <v>45170</v>
      </c>
      <c r="B33" s="2">
        <v>9</v>
      </c>
      <c r="C33" s="2" t="s">
        <v>15</v>
      </c>
      <c r="D33" s="2">
        <v>2023</v>
      </c>
      <c r="E33" s="2">
        <v>202309</v>
      </c>
    </row>
    <row r="34" spans="1:5" x14ac:dyDescent="0.3">
      <c r="A34" s="3">
        <v>45171</v>
      </c>
      <c r="B34" s="2">
        <v>9</v>
      </c>
      <c r="C34" s="2" t="s">
        <v>15</v>
      </c>
      <c r="D34" s="2">
        <v>2023</v>
      </c>
      <c r="E34" s="2">
        <v>202309</v>
      </c>
    </row>
    <row r="35" spans="1:5" x14ac:dyDescent="0.3">
      <c r="A35" s="3">
        <v>45172</v>
      </c>
      <c r="B35" s="2">
        <v>9</v>
      </c>
      <c r="C35" s="2" t="s">
        <v>15</v>
      </c>
      <c r="D35" s="2">
        <v>2023</v>
      </c>
      <c r="E35" s="2">
        <v>202309</v>
      </c>
    </row>
    <row r="36" spans="1:5" x14ac:dyDescent="0.3">
      <c r="A36" s="3">
        <v>45173</v>
      </c>
      <c r="B36" s="2">
        <v>9</v>
      </c>
      <c r="C36" s="2" t="s">
        <v>15</v>
      </c>
      <c r="D36" s="2">
        <v>2023</v>
      </c>
      <c r="E36" s="2">
        <v>202309</v>
      </c>
    </row>
    <row r="37" spans="1:5" x14ac:dyDescent="0.3">
      <c r="A37" s="3">
        <v>45174</v>
      </c>
      <c r="B37" s="2">
        <v>9</v>
      </c>
      <c r="C37" s="2" t="s">
        <v>15</v>
      </c>
      <c r="D37" s="2">
        <v>2023</v>
      </c>
      <c r="E37" s="2">
        <v>202309</v>
      </c>
    </row>
    <row r="38" spans="1:5" x14ac:dyDescent="0.3">
      <c r="A38" s="3">
        <v>45175</v>
      </c>
      <c r="B38" s="2">
        <v>9</v>
      </c>
      <c r="C38" s="2" t="s">
        <v>15</v>
      </c>
      <c r="D38" s="2">
        <v>2023</v>
      </c>
      <c r="E38" s="2">
        <v>202309</v>
      </c>
    </row>
    <row r="39" spans="1:5" x14ac:dyDescent="0.3">
      <c r="A39" s="3">
        <v>45176</v>
      </c>
      <c r="B39" s="2">
        <v>9</v>
      </c>
      <c r="C39" s="2" t="s">
        <v>15</v>
      </c>
      <c r="D39" s="2">
        <v>2023</v>
      </c>
      <c r="E39" s="2">
        <v>202309</v>
      </c>
    </row>
    <row r="40" spans="1:5" x14ac:dyDescent="0.3">
      <c r="A40" s="3">
        <v>45177</v>
      </c>
      <c r="B40" s="2">
        <v>9</v>
      </c>
      <c r="C40" s="2" t="s">
        <v>15</v>
      </c>
      <c r="D40" s="2">
        <v>2023</v>
      </c>
      <c r="E40" s="2">
        <v>202309</v>
      </c>
    </row>
    <row r="41" spans="1:5" x14ac:dyDescent="0.3">
      <c r="A41" s="3">
        <v>45178</v>
      </c>
      <c r="B41" s="2">
        <v>9</v>
      </c>
      <c r="C41" s="2" t="s">
        <v>15</v>
      </c>
      <c r="D41" s="2">
        <v>2023</v>
      </c>
      <c r="E41" s="2">
        <v>202309</v>
      </c>
    </row>
    <row r="42" spans="1:5" x14ac:dyDescent="0.3">
      <c r="A42" s="3">
        <v>45179</v>
      </c>
      <c r="B42" s="2">
        <v>9</v>
      </c>
      <c r="C42" s="2" t="s">
        <v>15</v>
      </c>
      <c r="D42" s="2">
        <v>2023</v>
      </c>
      <c r="E42" s="2">
        <v>202309</v>
      </c>
    </row>
    <row r="43" spans="1:5" x14ac:dyDescent="0.3">
      <c r="A43" s="3">
        <v>45180</v>
      </c>
      <c r="B43" s="2">
        <v>9</v>
      </c>
      <c r="C43" s="2" t="s">
        <v>15</v>
      </c>
      <c r="D43" s="2">
        <v>2023</v>
      </c>
      <c r="E43" s="2">
        <v>202309</v>
      </c>
    </row>
    <row r="44" spans="1:5" x14ac:dyDescent="0.3">
      <c r="A44" s="3">
        <v>45181</v>
      </c>
      <c r="B44" s="2">
        <v>9</v>
      </c>
      <c r="C44" s="2" t="s">
        <v>15</v>
      </c>
      <c r="D44" s="2">
        <v>2023</v>
      </c>
      <c r="E44" s="2">
        <v>202309</v>
      </c>
    </row>
    <row r="45" spans="1:5" x14ac:dyDescent="0.3">
      <c r="A45" s="3">
        <v>45182</v>
      </c>
      <c r="B45" s="2">
        <v>9</v>
      </c>
      <c r="C45" s="2" t="s">
        <v>15</v>
      </c>
      <c r="D45" s="2">
        <v>2023</v>
      </c>
      <c r="E45" s="2">
        <v>202309</v>
      </c>
    </row>
    <row r="46" spans="1:5" x14ac:dyDescent="0.3">
      <c r="A46" s="3">
        <v>45183</v>
      </c>
      <c r="B46" s="2">
        <v>9</v>
      </c>
      <c r="C46" s="2" t="s">
        <v>15</v>
      </c>
      <c r="D46" s="2">
        <v>2023</v>
      </c>
      <c r="E46" s="2">
        <v>202309</v>
      </c>
    </row>
    <row r="47" spans="1:5" x14ac:dyDescent="0.3">
      <c r="A47" s="3">
        <v>45184</v>
      </c>
      <c r="B47" s="2">
        <v>9</v>
      </c>
      <c r="C47" s="2" t="s">
        <v>15</v>
      </c>
      <c r="D47" s="2">
        <v>2023</v>
      </c>
      <c r="E47" s="2">
        <v>202309</v>
      </c>
    </row>
    <row r="48" spans="1:5" x14ac:dyDescent="0.3">
      <c r="A48" s="3">
        <v>45185</v>
      </c>
      <c r="B48" s="2">
        <v>9</v>
      </c>
      <c r="C48" s="2" t="s">
        <v>15</v>
      </c>
      <c r="D48" s="2">
        <v>2023</v>
      </c>
      <c r="E48" s="2">
        <v>202309</v>
      </c>
    </row>
    <row r="49" spans="1:5" x14ac:dyDescent="0.3">
      <c r="A49" s="3">
        <v>45186</v>
      </c>
      <c r="B49" s="2">
        <v>9</v>
      </c>
      <c r="C49" s="2" t="s">
        <v>15</v>
      </c>
      <c r="D49" s="2">
        <v>2023</v>
      </c>
      <c r="E49" s="2">
        <v>202309</v>
      </c>
    </row>
    <row r="50" spans="1:5" x14ac:dyDescent="0.3">
      <c r="A50" s="3">
        <v>45187</v>
      </c>
      <c r="B50" s="2">
        <v>9</v>
      </c>
      <c r="C50" s="2" t="s">
        <v>15</v>
      </c>
      <c r="D50" s="2">
        <v>2023</v>
      </c>
      <c r="E50" s="2">
        <v>202309</v>
      </c>
    </row>
    <row r="51" spans="1:5" x14ac:dyDescent="0.3">
      <c r="A51" s="3">
        <v>45188</v>
      </c>
      <c r="B51" s="2">
        <v>9</v>
      </c>
      <c r="C51" s="2" t="s">
        <v>15</v>
      </c>
      <c r="D51" s="2">
        <v>2023</v>
      </c>
      <c r="E51" s="2">
        <v>202309</v>
      </c>
    </row>
    <row r="52" spans="1:5" x14ac:dyDescent="0.3">
      <c r="A52" s="3">
        <v>45189</v>
      </c>
      <c r="B52" s="2">
        <v>9</v>
      </c>
      <c r="C52" s="2" t="s">
        <v>15</v>
      </c>
      <c r="D52" s="2">
        <v>2023</v>
      </c>
      <c r="E52" s="2">
        <v>202309</v>
      </c>
    </row>
    <row r="53" spans="1:5" x14ac:dyDescent="0.3">
      <c r="A53" s="3">
        <v>45190</v>
      </c>
      <c r="B53" s="2">
        <v>9</v>
      </c>
      <c r="C53" s="2" t="s">
        <v>15</v>
      </c>
      <c r="D53" s="2">
        <v>2023</v>
      </c>
      <c r="E53" s="2">
        <v>202309</v>
      </c>
    </row>
    <row r="54" spans="1:5" x14ac:dyDescent="0.3">
      <c r="A54" s="3">
        <v>45191</v>
      </c>
      <c r="B54" s="2">
        <v>9</v>
      </c>
      <c r="C54" s="2" t="s">
        <v>15</v>
      </c>
      <c r="D54" s="2">
        <v>2023</v>
      </c>
      <c r="E54" s="2">
        <v>202309</v>
      </c>
    </row>
    <row r="55" spans="1:5" x14ac:dyDescent="0.3">
      <c r="A55" s="3">
        <v>45192</v>
      </c>
      <c r="B55" s="2">
        <v>9</v>
      </c>
      <c r="C55" s="2" t="s">
        <v>15</v>
      </c>
      <c r="D55" s="2">
        <v>2023</v>
      </c>
      <c r="E55" s="2">
        <v>202309</v>
      </c>
    </row>
    <row r="56" spans="1:5" x14ac:dyDescent="0.3">
      <c r="A56" s="3">
        <v>45193</v>
      </c>
      <c r="B56" s="2">
        <v>9</v>
      </c>
      <c r="C56" s="2" t="s">
        <v>15</v>
      </c>
      <c r="D56" s="2">
        <v>2023</v>
      </c>
      <c r="E56" s="2">
        <v>202309</v>
      </c>
    </row>
    <row r="57" spans="1:5" x14ac:dyDescent="0.3">
      <c r="A57" s="3">
        <v>45194</v>
      </c>
      <c r="B57" s="2">
        <v>9</v>
      </c>
      <c r="C57" s="2" t="s">
        <v>15</v>
      </c>
      <c r="D57" s="2">
        <v>2023</v>
      </c>
      <c r="E57" s="2">
        <v>202309</v>
      </c>
    </row>
    <row r="58" spans="1:5" x14ac:dyDescent="0.3">
      <c r="A58" s="3">
        <v>45195</v>
      </c>
      <c r="B58" s="2">
        <v>9</v>
      </c>
      <c r="C58" s="2" t="s">
        <v>15</v>
      </c>
      <c r="D58" s="2">
        <v>2023</v>
      </c>
      <c r="E58" s="2">
        <v>202309</v>
      </c>
    </row>
    <row r="59" spans="1:5" x14ac:dyDescent="0.3">
      <c r="A59" s="3">
        <v>45196</v>
      </c>
      <c r="B59" s="2">
        <v>9</v>
      </c>
      <c r="C59" s="2" t="s">
        <v>15</v>
      </c>
      <c r="D59" s="2">
        <v>2023</v>
      </c>
      <c r="E59" s="2">
        <v>202309</v>
      </c>
    </row>
    <row r="60" spans="1:5" x14ac:dyDescent="0.3">
      <c r="A60" s="3">
        <v>45197</v>
      </c>
      <c r="B60" s="2">
        <v>9</v>
      </c>
      <c r="C60" s="2" t="s">
        <v>15</v>
      </c>
      <c r="D60" s="2">
        <v>2023</v>
      </c>
      <c r="E60" s="2">
        <v>202309</v>
      </c>
    </row>
    <row r="61" spans="1:5" x14ac:dyDescent="0.3">
      <c r="A61" s="3">
        <v>45198</v>
      </c>
      <c r="B61" s="2">
        <v>9</v>
      </c>
      <c r="C61" s="2" t="s">
        <v>15</v>
      </c>
      <c r="D61" s="2">
        <v>2023</v>
      </c>
      <c r="E61" s="2">
        <v>202309</v>
      </c>
    </row>
    <row r="62" spans="1:5" x14ac:dyDescent="0.3">
      <c r="A62" s="3">
        <v>45199</v>
      </c>
      <c r="B62" s="2">
        <v>9</v>
      </c>
      <c r="C62" s="2" t="s">
        <v>15</v>
      </c>
      <c r="D62" s="2">
        <v>2023</v>
      </c>
      <c r="E62" s="2">
        <v>202309</v>
      </c>
    </row>
    <row r="63" spans="1:5" x14ac:dyDescent="0.3">
      <c r="A63" s="3">
        <v>45200</v>
      </c>
      <c r="B63" s="2">
        <v>10</v>
      </c>
      <c r="C63" s="2" t="s">
        <v>16</v>
      </c>
      <c r="D63" s="2">
        <v>2023</v>
      </c>
      <c r="E63" s="2">
        <v>202310</v>
      </c>
    </row>
    <row r="64" spans="1:5" x14ac:dyDescent="0.3">
      <c r="A64" s="3">
        <v>45201</v>
      </c>
      <c r="B64" s="2">
        <v>10</v>
      </c>
      <c r="C64" s="2" t="s">
        <v>16</v>
      </c>
      <c r="D64" s="2">
        <v>2023</v>
      </c>
      <c r="E64" s="2">
        <v>202310</v>
      </c>
    </row>
    <row r="65" spans="1:5" x14ac:dyDescent="0.3">
      <c r="A65" s="3">
        <v>45202</v>
      </c>
      <c r="B65" s="2">
        <v>10</v>
      </c>
      <c r="C65" s="2" t="s">
        <v>16</v>
      </c>
      <c r="D65" s="2">
        <v>2023</v>
      </c>
      <c r="E65" s="2">
        <v>202310</v>
      </c>
    </row>
    <row r="66" spans="1:5" x14ac:dyDescent="0.3">
      <c r="A66" s="3">
        <v>45203</v>
      </c>
      <c r="B66" s="2">
        <v>10</v>
      </c>
      <c r="C66" s="2" t="s">
        <v>16</v>
      </c>
      <c r="D66" s="2">
        <v>2023</v>
      </c>
      <c r="E66" s="2">
        <v>202310</v>
      </c>
    </row>
    <row r="67" spans="1:5" x14ac:dyDescent="0.3">
      <c r="A67" s="3">
        <v>45204</v>
      </c>
      <c r="B67" s="2">
        <v>10</v>
      </c>
      <c r="C67" s="2" t="s">
        <v>16</v>
      </c>
      <c r="D67" s="2">
        <v>2023</v>
      </c>
      <c r="E67" s="2">
        <v>202310</v>
      </c>
    </row>
    <row r="68" spans="1:5" x14ac:dyDescent="0.3">
      <c r="A68" s="3">
        <v>45205</v>
      </c>
      <c r="B68" s="2">
        <v>10</v>
      </c>
      <c r="C68" s="2" t="s">
        <v>16</v>
      </c>
      <c r="D68" s="2">
        <v>2023</v>
      </c>
      <c r="E68" s="2">
        <v>202310</v>
      </c>
    </row>
    <row r="69" spans="1:5" x14ac:dyDescent="0.3">
      <c r="A69" s="3">
        <v>45206</v>
      </c>
      <c r="B69" s="2">
        <v>10</v>
      </c>
      <c r="C69" s="2" t="s">
        <v>16</v>
      </c>
      <c r="D69" s="2">
        <v>2023</v>
      </c>
      <c r="E69" s="2">
        <v>202310</v>
      </c>
    </row>
    <row r="70" spans="1:5" x14ac:dyDescent="0.3">
      <c r="A70" s="3">
        <v>45207</v>
      </c>
      <c r="B70" s="2">
        <v>10</v>
      </c>
      <c r="C70" s="2" t="s">
        <v>16</v>
      </c>
      <c r="D70" s="2">
        <v>2023</v>
      </c>
      <c r="E70" s="2">
        <v>202310</v>
      </c>
    </row>
    <row r="71" spans="1:5" x14ac:dyDescent="0.3">
      <c r="A71" s="3">
        <v>45208</v>
      </c>
      <c r="B71" s="2">
        <v>10</v>
      </c>
      <c r="C71" s="2" t="s">
        <v>16</v>
      </c>
      <c r="D71" s="2">
        <v>2023</v>
      </c>
      <c r="E71" s="2">
        <v>202310</v>
      </c>
    </row>
    <row r="72" spans="1:5" x14ac:dyDescent="0.3">
      <c r="A72" s="3">
        <v>45209</v>
      </c>
      <c r="B72" s="2">
        <v>10</v>
      </c>
      <c r="C72" s="2" t="s">
        <v>16</v>
      </c>
      <c r="D72" s="2">
        <v>2023</v>
      </c>
      <c r="E72" s="2">
        <v>202310</v>
      </c>
    </row>
    <row r="73" spans="1:5" x14ac:dyDescent="0.3">
      <c r="A73" s="3">
        <v>45210</v>
      </c>
      <c r="B73" s="2">
        <v>10</v>
      </c>
      <c r="C73" s="2" t="s">
        <v>16</v>
      </c>
      <c r="D73" s="2">
        <v>2023</v>
      </c>
      <c r="E73" s="2">
        <v>202310</v>
      </c>
    </row>
    <row r="74" spans="1:5" x14ac:dyDescent="0.3">
      <c r="A74" s="3">
        <v>45211</v>
      </c>
      <c r="B74" s="2">
        <v>10</v>
      </c>
      <c r="C74" s="2" t="s">
        <v>16</v>
      </c>
      <c r="D74" s="2">
        <v>2023</v>
      </c>
      <c r="E74" s="2">
        <v>202310</v>
      </c>
    </row>
    <row r="75" spans="1:5" x14ac:dyDescent="0.3">
      <c r="A75" s="3">
        <v>45212</v>
      </c>
      <c r="B75" s="2">
        <v>10</v>
      </c>
      <c r="C75" s="2" t="s">
        <v>16</v>
      </c>
      <c r="D75" s="2">
        <v>2023</v>
      </c>
      <c r="E75" s="2">
        <v>202310</v>
      </c>
    </row>
    <row r="76" spans="1:5" x14ac:dyDescent="0.3">
      <c r="A76" s="3">
        <v>45213</v>
      </c>
      <c r="B76" s="2">
        <v>10</v>
      </c>
      <c r="C76" s="2" t="s">
        <v>16</v>
      </c>
      <c r="D76" s="2">
        <v>2023</v>
      </c>
      <c r="E76" s="2">
        <v>202310</v>
      </c>
    </row>
    <row r="77" spans="1:5" x14ac:dyDescent="0.3">
      <c r="A77" s="3">
        <v>45214</v>
      </c>
      <c r="B77" s="2">
        <v>10</v>
      </c>
      <c r="C77" s="2" t="s">
        <v>16</v>
      </c>
      <c r="D77" s="2">
        <v>2023</v>
      </c>
      <c r="E77" s="2">
        <v>202310</v>
      </c>
    </row>
    <row r="78" spans="1:5" x14ac:dyDescent="0.3">
      <c r="A78" s="3">
        <v>45215</v>
      </c>
      <c r="B78" s="2">
        <v>10</v>
      </c>
      <c r="C78" s="2" t="s">
        <v>16</v>
      </c>
      <c r="D78" s="2">
        <v>2023</v>
      </c>
      <c r="E78" s="2">
        <v>202310</v>
      </c>
    </row>
    <row r="79" spans="1:5" x14ac:dyDescent="0.3">
      <c r="A79" s="3">
        <v>45216</v>
      </c>
      <c r="B79" s="2">
        <v>10</v>
      </c>
      <c r="C79" s="2" t="s">
        <v>16</v>
      </c>
      <c r="D79" s="2">
        <v>2023</v>
      </c>
      <c r="E79" s="2">
        <v>202310</v>
      </c>
    </row>
    <row r="80" spans="1:5" x14ac:dyDescent="0.3">
      <c r="A80" s="3">
        <v>45217</v>
      </c>
      <c r="B80" s="2">
        <v>10</v>
      </c>
      <c r="C80" s="2" t="s">
        <v>16</v>
      </c>
      <c r="D80" s="2">
        <v>2023</v>
      </c>
      <c r="E80" s="2">
        <v>202310</v>
      </c>
    </row>
    <row r="81" spans="1:5" x14ac:dyDescent="0.3">
      <c r="A81" s="3">
        <v>45218</v>
      </c>
      <c r="B81" s="2">
        <v>10</v>
      </c>
      <c r="C81" s="2" t="s">
        <v>16</v>
      </c>
      <c r="D81" s="2">
        <v>2023</v>
      </c>
      <c r="E81" s="2">
        <v>202310</v>
      </c>
    </row>
    <row r="82" spans="1:5" x14ac:dyDescent="0.3">
      <c r="A82" s="3">
        <v>45219</v>
      </c>
      <c r="B82" s="2">
        <v>10</v>
      </c>
      <c r="C82" s="2" t="s">
        <v>16</v>
      </c>
      <c r="D82" s="2">
        <v>2023</v>
      </c>
      <c r="E82" s="2">
        <v>202310</v>
      </c>
    </row>
    <row r="83" spans="1:5" x14ac:dyDescent="0.3">
      <c r="A83" s="3">
        <v>45220</v>
      </c>
      <c r="B83" s="2">
        <v>10</v>
      </c>
      <c r="C83" s="2" t="s">
        <v>16</v>
      </c>
      <c r="D83" s="2">
        <v>2023</v>
      </c>
      <c r="E83" s="2">
        <v>202310</v>
      </c>
    </row>
    <row r="84" spans="1:5" x14ac:dyDescent="0.3">
      <c r="A84" s="3">
        <v>45221</v>
      </c>
      <c r="B84" s="2">
        <v>10</v>
      </c>
      <c r="C84" s="2" t="s">
        <v>16</v>
      </c>
      <c r="D84" s="2">
        <v>2023</v>
      </c>
      <c r="E84" s="2">
        <v>202310</v>
      </c>
    </row>
    <row r="85" spans="1:5" x14ac:dyDescent="0.3">
      <c r="A85" s="3">
        <v>45222</v>
      </c>
      <c r="B85" s="2">
        <v>10</v>
      </c>
      <c r="C85" s="2" t="s">
        <v>16</v>
      </c>
      <c r="D85" s="2">
        <v>2023</v>
      </c>
      <c r="E85" s="2">
        <v>202310</v>
      </c>
    </row>
    <row r="86" spans="1:5" x14ac:dyDescent="0.3">
      <c r="A86" s="3">
        <v>45223</v>
      </c>
      <c r="B86" s="2">
        <v>10</v>
      </c>
      <c r="C86" s="2" t="s">
        <v>16</v>
      </c>
      <c r="D86" s="2">
        <v>2023</v>
      </c>
      <c r="E86" s="2">
        <v>202310</v>
      </c>
    </row>
    <row r="87" spans="1:5" x14ac:dyDescent="0.3">
      <c r="A87" s="3">
        <v>45224</v>
      </c>
      <c r="B87" s="2">
        <v>10</v>
      </c>
      <c r="C87" s="2" t="s">
        <v>16</v>
      </c>
      <c r="D87" s="2">
        <v>2023</v>
      </c>
      <c r="E87" s="2">
        <v>202310</v>
      </c>
    </row>
    <row r="88" spans="1:5" x14ac:dyDescent="0.3">
      <c r="A88" s="3">
        <v>45225</v>
      </c>
      <c r="B88" s="2">
        <v>10</v>
      </c>
      <c r="C88" s="2" t="s">
        <v>16</v>
      </c>
      <c r="D88" s="2">
        <v>2023</v>
      </c>
      <c r="E88" s="2">
        <v>202310</v>
      </c>
    </row>
    <row r="89" spans="1:5" x14ac:dyDescent="0.3">
      <c r="A89" s="3">
        <v>45226</v>
      </c>
      <c r="B89" s="2">
        <v>10</v>
      </c>
      <c r="C89" s="2" t="s">
        <v>16</v>
      </c>
      <c r="D89" s="2">
        <v>2023</v>
      </c>
      <c r="E89" s="2">
        <v>202310</v>
      </c>
    </row>
    <row r="90" spans="1:5" x14ac:dyDescent="0.3">
      <c r="A90" s="3">
        <v>45227</v>
      </c>
      <c r="B90" s="2">
        <v>10</v>
      </c>
      <c r="C90" s="2" t="s">
        <v>16</v>
      </c>
      <c r="D90" s="2">
        <v>2023</v>
      </c>
      <c r="E90" s="2">
        <v>202310</v>
      </c>
    </row>
    <row r="91" spans="1:5" x14ac:dyDescent="0.3">
      <c r="A91" s="3">
        <v>45228</v>
      </c>
      <c r="B91" s="2">
        <v>10</v>
      </c>
      <c r="C91" s="2" t="s">
        <v>16</v>
      </c>
      <c r="D91" s="2">
        <v>2023</v>
      </c>
      <c r="E91" s="2">
        <v>202310</v>
      </c>
    </row>
    <row r="92" spans="1:5" x14ac:dyDescent="0.3">
      <c r="A92" s="3">
        <v>45229</v>
      </c>
      <c r="B92" s="2">
        <v>10</v>
      </c>
      <c r="C92" s="2" t="s">
        <v>16</v>
      </c>
      <c r="D92" s="2">
        <v>2023</v>
      </c>
      <c r="E92" s="2">
        <v>202310</v>
      </c>
    </row>
    <row r="93" spans="1:5" x14ac:dyDescent="0.3">
      <c r="A93" s="3">
        <v>45230</v>
      </c>
      <c r="B93" s="2">
        <v>10</v>
      </c>
      <c r="C93" s="2" t="s">
        <v>16</v>
      </c>
      <c r="D93" s="2">
        <v>2023</v>
      </c>
      <c r="E93" s="2">
        <v>202310</v>
      </c>
    </row>
    <row r="94" spans="1:5" x14ac:dyDescent="0.3">
      <c r="A94" s="3">
        <v>45231</v>
      </c>
      <c r="B94" s="2">
        <v>11</v>
      </c>
      <c r="C94" s="2" t="s">
        <v>17</v>
      </c>
      <c r="D94" s="2">
        <v>2023</v>
      </c>
      <c r="E94" s="2">
        <v>202311</v>
      </c>
    </row>
    <row r="95" spans="1:5" x14ac:dyDescent="0.3">
      <c r="A95" s="3">
        <v>45232</v>
      </c>
      <c r="B95" s="2">
        <v>11</v>
      </c>
      <c r="C95" s="2" t="s">
        <v>17</v>
      </c>
      <c r="D95" s="2">
        <v>2023</v>
      </c>
      <c r="E95" s="2">
        <v>202311</v>
      </c>
    </row>
    <row r="96" spans="1:5" x14ac:dyDescent="0.3">
      <c r="A96" s="3">
        <v>45233</v>
      </c>
      <c r="B96" s="2">
        <v>11</v>
      </c>
      <c r="C96" s="2" t="s">
        <v>17</v>
      </c>
      <c r="D96" s="2">
        <v>2023</v>
      </c>
      <c r="E96" s="2">
        <v>202311</v>
      </c>
    </row>
    <row r="97" spans="1:5" x14ac:dyDescent="0.3">
      <c r="A97" s="3">
        <v>45234</v>
      </c>
      <c r="B97" s="2">
        <v>11</v>
      </c>
      <c r="C97" s="2" t="s">
        <v>17</v>
      </c>
      <c r="D97" s="2">
        <v>2023</v>
      </c>
      <c r="E97" s="2">
        <v>202311</v>
      </c>
    </row>
    <row r="98" spans="1:5" x14ac:dyDescent="0.3">
      <c r="A98" s="3">
        <v>45235</v>
      </c>
      <c r="B98" s="2">
        <v>11</v>
      </c>
      <c r="C98" s="2" t="s">
        <v>17</v>
      </c>
      <c r="D98" s="2">
        <v>2023</v>
      </c>
      <c r="E98" s="2">
        <v>202311</v>
      </c>
    </row>
    <row r="99" spans="1:5" x14ac:dyDescent="0.3">
      <c r="A99" s="3">
        <v>45236</v>
      </c>
      <c r="B99" s="2">
        <v>11</v>
      </c>
      <c r="C99" s="2" t="s">
        <v>17</v>
      </c>
      <c r="D99" s="2">
        <v>2023</v>
      </c>
      <c r="E99" s="2">
        <v>202311</v>
      </c>
    </row>
    <row r="100" spans="1:5" x14ac:dyDescent="0.3">
      <c r="A100" s="3">
        <v>45237</v>
      </c>
      <c r="B100" s="2">
        <v>11</v>
      </c>
      <c r="C100" s="2" t="s">
        <v>17</v>
      </c>
      <c r="D100" s="2">
        <v>2023</v>
      </c>
      <c r="E100" s="2">
        <v>202311</v>
      </c>
    </row>
    <row r="101" spans="1:5" x14ac:dyDescent="0.3">
      <c r="A101" s="3">
        <v>45238</v>
      </c>
      <c r="B101" s="2">
        <v>11</v>
      </c>
      <c r="C101" s="2" t="s">
        <v>17</v>
      </c>
      <c r="D101" s="2">
        <v>2023</v>
      </c>
      <c r="E101" s="2">
        <v>202311</v>
      </c>
    </row>
    <row r="102" spans="1:5" x14ac:dyDescent="0.3">
      <c r="A102" s="3">
        <v>45239</v>
      </c>
      <c r="B102" s="2">
        <v>11</v>
      </c>
      <c r="C102" s="2" t="s">
        <v>17</v>
      </c>
      <c r="D102" s="2">
        <v>2023</v>
      </c>
      <c r="E102" s="2">
        <v>202311</v>
      </c>
    </row>
    <row r="103" spans="1:5" x14ac:dyDescent="0.3">
      <c r="A103" s="3">
        <v>45240</v>
      </c>
      <c r="B103" s="2">
        <v>11</v>
      </c>
      <c r="C103" s="2" t="s">
        <v>17</v>
      </c>
      <c r="D103" s="2">
        <v>2023</v>
      </c>
      <c r="E103" s="2">
        <v>202311</v>
      </c>
    </row>
    <row r="104" spans="1:5" x14ac:dyDescent="0.3">
      <c r="A104" s="3">
        <v>45241</v>
      </c>
      <c r="B104" s="2">
        <v>11</v>
      </c>
      <c r="C104" s="2" t="s">
        <v>17</v>
      </c>
      <c r="D104" s="2">
        <v>2023</v>
      </c>
      <c r="E104" s="2">
        <v>202311</v>
      </c>
    </row>
    <row r="105" spans="1:5" x14ac:dyDescent="0.3">
      <c r="A105" s="3">
        <v>45242</v>
      </c>
      <c r="B105" s="2">
        <v>11</v>
      </c>
      <c r="C105" s="2" t="s">
        <v>17</v>
      </c>
      <c r="D105" s="2">
        <v>2023</v>
      </c>
      <c r="E105" s="2">
        <v>202311</v>
      </c>
    </row>
    <row r="106" spans="1:5" x14ac:dyDescent="0.3">
      <c r="A106" s="3">
        <v>45243</v>
      </c>
      <c r="B106" s="2">
        <v>11</v>
      </c>
      <c r="C106" s="2" t="s">
        <v>17</v>
      </c>
      <c r="D106" s="2">
        <v>2023</v>
      </c>
      <c r="E106" s="2">
        <v>202311</v>
      </c>
    </row>
    <row r="107" spans="1:5" x14ac:dyDescent="0.3">
      <c r="A107" s="3">
        <v>45244</v>
      </c>
      <c r="B107" s="2">
        <v>11</v>
      </c>
      <c r="C107" s="2" t="s">
        <v>17</v>
      </c>
      <c r="D107" s="2">
        <v>2023</v>
      </c>
      <c r="E107" s="2">
        <v>202311</v>
      </c>
    </row>
    <row r="108" spans="1:5" x14ac:dyDescent="0.3">
      <c r="A108" s="3">
        <v>45245</v>
      </c>
      <c r="B108" s="2">
        <v>11</v>
      </c>
      <c r="C108" s="2" t="s">
        <v>17</v>
      </c>
      <c r="D108" s="2">
        <v>2023</v>
      </c>
      <c r="E108" s="2">
        <v>202311</v>
      </c>
    </row>
    <row r="109" spans="1:5" x14ac:dyDescent="0.3">
      <c r="A109" s="3">
        <v>45246</v>
      </c>
      <c r="B109" s="2">
        <v>11</v>
      </c>
      <c r="C109" s="2" t="s">
        <v>17</v>
      </c>
      <c r="D109" s="2">
        <v>2023</v>
      </c>
      <c r="E109" s="2">
        <v>202311</v>
      </c>
    </row>
    <row r="110" spans="1:5" x14ac:dyDescent="0.3">
      <c r="A110" s="3">
        <v>45247</v>
      </c>
      <c r="B110" s="2">
        <v>11</v>
      </c>
      <c r="C110" s="2" t="s">
        <v>17</v>
      </c>
      <c r="D110" s="2">
        <v>2023</v>
      </c>
      <c r="E110" s="2">
        <v>202311</v>
      </c>
    </row>
    <row r="111" spans="1:5" x14ac:dyDescent="0.3">
      <c r="A111" s="3">
        <v>45248</v>
      </c>
      <c r="B111" s="2">
        <v>11</v>
      </c>
      <c r="C111" s="2" t="s">
        <v>17</v>
      </c>
      <c r="D111" s="2">
        <v>2023</v>
      </c>
      <c r="E111" s="2">
        <v>202311</v>
      </c>
    </row>
    <row r="112" spans="1:5" x14ac:dyDescent="0.3">
      <c r="A112" s="3">
        <v>45249</v>
      </c>
      <c r="B112" s="2">
        <v>11</v>
      </c>
      <c r="C112" s="2" t="s">
        <v>17</v>
      </c>
      <c r="D112" s="2">
        <v>2023</v>
      </c>
      <c r="E112" s="2">
        <v>202311</v>
      </c>
    </row>
    <row r="113" spans="1:5" x14ac:dyDescent="0.3">
      <c r="A113" s="3">
        <v>45250</v>
      </c>
      <c r="B113" s="2">
        <v>11</v>
      </c>
      <c r="C113" s="2" t="s">
        <v>17</v>
      </c>
      <c r="D113" s="2">
        <v>2023</v>
      </c>
      <c r="E113" s="2">
        <v>202311</v>
      </c>
    </row>
    <row r="114" spans="1:5" x14ac:dyDescent="0.3">
      <c r="A114" s="3">
        <v>45251</v>
      </c>
      <c r="B114" s="2">
        <v>11</v>
      </c>
      <c r="C114" s="2" t="s">
        <v>17</v>
      </c>
      <c r="D114" s="2">
        <v>2023</v>
      </c>
      <c r="E114" s="2">
        <v>202311</v>
      </c>
    </row>
    <row r="115" spans="1:5" x14ac:dyDescent="0.3">
      <c r="A115" s="3">
        <v>45252</v>
      </c>
      <c r="B115" s="2">
        <v>11</v>
      </c>
      <c r="C115" s="2" t="s">
        <v>17</v>
      </c>
      <c r="D115" s="2">
        <v>2023</v>
      </c>
      <c r="E115" s="2">
        <v>202311</v>
      </c>
    </row>
    <row r="116" spans="1:5" x14ac:dyDescent="0.3">
      <c r="A116" s="3">
        <v>45253</v>
      </c>
      <c r="B116" s="2">
        <v>11</v>
      </c>
      <c r="C116" s="2" t="s">
        <v>17</v>
      </c>
      <c r="D116" s="2">
        <v>2023</v>
      </c>
      <c r="E116" s="2">
        <v>202311</v>
      </c>
    </row>
    <row r="117" spans="1:5" x14ac:dyDescent="0.3">
      <c r="A117" s="3">
        <v>45254</v>
      </c>
      <c r="B117" s="2">
        <v>11</v>
      </c>
      <c r="C117" s="2" t="s">
        <v>17</v>
      </c>
      <c r="D117" s="2">
        <v>2023</v>
      </c>
      <c r="E117" s="2">
        <v>202311</v>
      </c>
    </row>
    <row r="118" spans="1:5" x14ac:dyDescent="0.3">
      <c r="A118" s="3">
        <v>45255</v>
      </c>
      <c r="B118" s="2">
        <v>11</v>
      </c>
      <c r="C118" s="2" t="s">
        <v>17</v>
      </c>
      <c r="D118" s="2">
        <v>2023</v>
      </c>
      <c r="E118" s="2">
        <v>202311</v>
      </c>
    </row>
    <row r="119" spans="1:5" x14ac:dyDescent="0.3">
      <c r="A119" s="3">
        <v>45256</v>
      </c>
      <c r="B119" s="2">
        <v>11</v>
      </c>
      <c r="C119" s="2" t="s">
        <v>17</v>
      </c>
      <c r="D119" s="2">
        <v>2023</v>
      </c>
      <c r="E119" s="2">
        <v>202311</v>
      </c>
    </row>
    <row r="120" spans="1:5" x14ac:dyDescent="0.3">
      <c r="A120" s="3">
        <v>45257</v>
      </c>
      <c r="B120" s="2">
        <v>11</v>
      </c>
      <c r="C120" s="2" t="s">
        <v>17</v>
      </c>
      <c r="D120" s="2">
        <v>2023</v>
      </c>
      <c r="E120" s="2">
        <v>202311</v>
      </c>
    </row>
    <row r="121" spans="1:5" x14ac:dyDescent="0.3">
      <c r="A121" s="3">
        <v>45258</v>
      </c>
      <c r="B121" s="2">
        <v>11</v>
      </c>
      <c r="C121" s="2" t="s">
        <v>17</v>
      </c>
      <c r="D121" s="2">
        <v>2023</v>
      </c>
      <c r="E121" s="2">
        <v>202311</v>
      </c>
    </row>
    <row r="122" spans="1:5" x14ac:dyDescent="0.3">
      <c r="A122" s="3">
        <v>45259</v>
      </c>
      <c r="B122" s="2">
        <v>11</v>
      </c>
      <c r="C122" s="2" t="s">
        <v>17</v>
      </c>
      <c r="D122" s="2">
        <v>2023</v>
      </c>
      <c r="E122" s="2">
        <v>202311</v>
      </c>
    </row>
    <row r="123" spans="1:5" x14ac:dyDescent="0.3">
      <c r="A123" s="3">
        <v>45260</v>
      </c>
      <c r="B123" s="2">
        <v>11</v>
      </c>
      <c r="C123" s="2" t="s">
        <v>17</v>
      </c>
      <c r="D123" s="2">
        <v>2023</v>
      </c>
      <c r="E123" s="2">
        <v>202311</v>
      </c>
    </row>
    <row r="124" spans="1:5" x14ac:dyDescent="0.3">
      <c r="A124" s="3">
        <v>45261</v>
      </c>
      <c r="B124" s="2">
        <v>12</v>
      </c>
      <c r="C124" s="2" t="s">
        <v>5</v>
      </c>
      <c r="D124" s="2">
        <v>2023</v>
      </c>
      <c r="E124" s="2">
        <v>202312</v>
      </c>
    </row>
    <row r="125" spans="1:5" x14ac:dyDescent="0.3">
      <c r="A125" s="3">
        <v>45262</v>
      </c>
      <c r="B125" s="2">
        <v>12</v>
      </c>
      <c r="C125" s="2" t="s">
        <v>5</v>
      </c>
      <c r="D125" s="2">
        <v>2023</v>
      </c>
      <c r="E125" s="2">
        <v>202312</v>
      </c>
    </row>
    <row r="126" spans="1:5" x14ac:dyDescent="0.3">
      <c r="A126" s="3">
        <v>45263</v>
      </c>
      <c r="B126" s="2">
        <v>12</v>
      </c>
      <c r="C126" s="2" t="s">
        <v>5</v>
      </c>
      <c r="D126" s="2">
        <v>2023</v>
      </c>
      <c r="E126" s="2">
        <v>202312</v>
      </c>
    </row>
    <row r="127" spans="1:5" x14ac:dyDescent="0.3">
      <c r="A127" s="3">
        <v>45264</v>
      </c>
      <c r="B127" s="2">
        <v>12</v>
      </c>
      <c r="C127" s="2" t="s">
        <v>5</v>
      </c>
      <c r="D127" s="2">
        <v>2023</v>
      </c>
      <c r="E127" s="2">
        <v>202312</v>
      </c>
    </row>
    <row r="128" spans="1:5" x14ac:dyDescent="0.3">
      <c r="A128" s="3">
        <v>45265</v>
      </c>
      <c r="B128" s="2">
        <v>12</v>
      </c>
      <c r="C128" s="2" t="s">
        <v>5</v>
      </c>
      <c r="D128" s="2">
        <v>2023</v>
      </c>
      <c r="E128" s="2">
        <v>202312</v>
      </c>
    </row>
    <row r="129" spans="1:5" x14ac:dyDescent="0.3">
      <c r="A129" s="3">
        <v>45266</v>
      </c>
      <c r="B129" s="2">
        <v>12</v>
      </c>
      <c r="C129" s="2" t="s">
        <v>5</v>
      </c>
      <c r="D129" s="2">
        <v>2023</v>
      </c>
      <c r="E129" s="2">
        <v>202312</v>
      </c>
    </row>
    <row r="130" spans="1:5" x14ac:dyDescent="0.3">
      <c r="A130" s="3">
        <v>45267</v>
      </c>
      <c r="B130" s="2">
        <v>12</v>
      </c>
      <c r="C130" s="2" t="s">
        <v>5</v>
      </c>
      <c r="D130" s="2">
        <v>2023</v>
      </c>
      <c r="E130" s="2">
        <v>202312</v>
      </c>
    </row>
    <row r="131" spans="1:5" x14ac:dyDescent="0.3">
      <c r="A131" s="3">
        <v>45268</v>
      </c>
      <c r="B131" s="2">
        <v>12</v>
      </c>
      <c r="C131" s="2" t="s">
        <v>5</v>
      </c>
      <c r="D131" s="2">
        <v>2023</v>
      </c>
      <c r="E131" s="2">
        <v>202312</v>
      </c>
    </row>
    <row r="132" spans="1:5" x14ac:dyDescent="0.3">
      <c r="A132" s="3">
        <v>45269</v>
      </c>
      <c r="B132" s="2">
        <v>12</v>
      </c>
      <c r="C132" s="2" t="s">
        <v>5</v>
      </c>
      <c r="D132" s="2">
        <v>2023</v>
      </c>
      <c r="E132" s="2">
        <v>202312</v>
      </c>
    </row>
    <row r="133" spans="1:5" x14ac:dyDescent="0.3">
      <c r="A133" s="3">
        <v>45270</v>
      </c>
      <c r="B133" s="2">
        <v>12</v>
      </c>
      <c r="C133" s="2" t="s">
        <v>5</v>
      </c>
      <c r="D133" s="2">
        <v>2023</v>
      </c>
      <c r="E133" s="2">
        <v>202312</v>
      </c>
    </row>
    <row r="134" spans="1:5" x14ac:dyDescent="0.3">
      <c r="A134" s="3">
        <v>45271</v>
      </c>
      <c r="B134" s="2">
        <v>12</v>
      </c>
      <c r="C134" s="2" t="s">
        <v>5</v>
      </c>
      <c r="D134" s="2">
        <v>2023</v>
      </c>
      <c r="E134" s="2">
        <v>202312</v>
      </c>
    </row>
    <row r="135" spans="1:5" x14ac:dyDescent="0.3">
      <c r="A135" s="3">
        <v>45272</v>
      </c>
      <c r="B135" s="2">
        <v>12</v>
      </c>
      <c r="C135" s="2" t="s">
        <v>5</v>
      </c>
      <c r="D135" s="2">
        <v>2023</v>
      </c>
      <c r="E135" s="2">
        <v>202312</v>
      </c>
    </row>
    <row r="136" spans="1:5" x14ac:dyDescent="0.3">
      <c r="A136" s="3">
        <v>45273</v>
      </c>
      <c r="B136" s="2">
        <v>12</v>
      </c>
      <c r="C136" s="2" t="s">
        <v>5</v>
      </c>
      <c r="D136" s="2">
        <v>2023</v>
      </c>
      <c r="E136" s="2">
        <v>202312</v>
      </c>
    </row>
    <row r="137" spans="1:5" x14ac:dyDescent="0.3">
      <c r="A137" s="3">
        <v>45274</v>
      </c>
      <c r="B137" s="2">
        <v>12</v>
      </c>
      <c r="C137" s="2" t="s">
        <v>5</v>
      </c>
      <c r="D137" s="2">
        <v>2023</v>
      </c>
      <c r="E137" s="2">
        <v>202312</v>
      </c>
    </row>
    <row r="138" spans="1:5" x14ac:dyDescent="0.3">
      <c r="A138" s="3">
        <v>45275</v>
      </c>
      <c r="B138" s="2">
        <v>12</v>
      </c>
      <c r="C138" s="2" t="s">
        <v>5</v>
      </c>
      <c r="D138" s="2">
        <v>2023</v>
      </c>
      <c r="E138" s="2">
        <v>202312</v>
      </c>
    </row>
    <row r="139" spans="1:5" x14ac:dyDescent="0.3">
      <c r="A139" s="3">
        <v>45276</v>
      </c>
      <c r="B139" s="2">
        <v>12</v>
      </c>
      <c r="C139" s="2" t="s">
        <v>5</v>
      </c>
      <c r="D139" s="2">
        <v>2023</v>
      </c>
      <c r="E139" s="2">
        <v>202312</v>
      </c>
    </row>
    <row r="140" spans="1:5" x14ac:dyDescent="0.3">
      <c r="A140" s="3">
        <v>45277</v>
      </c>
      <c r="B140" s="2">
        <v>12</v>
      </c>
      <c r="C140" s="2" t="s">
        <v>5</v>
      </c>
      <c r="D140" s="2">
        <v>2023</v>
      </c>
      <c r="E140" s="2">
        <v>202312</v>
      </c>
    </row>
    <row r="141" spans="1:5" x14ac:dyDescent="0.3">
      <c r="A141" s="3">
        <v>45278</v>
      </c>
      <c r="B141" s="2">
        <v>12</v>
      </c>
      <c r="C141" s="2" t="s">
        <v>5</v>
      </c>
      <c r="D141" s="2">
        <v>2023</v>
      </c>
      <c r="E141" s="2">
        <v>202312</v>
      </c>
    </row>
    <row r="142" spans="1:5" x14ac:dyDescent="0.3">
      <c r="A142" s="3">
        <v>45279</v>
      </c>
      <c r="B142" s="2">
        <v>12</v>
      </c>
      <c r="C142" s="2" t="s">
        <v>5</v>
      </c>
      <c r="D142" s="2">
        <v>2023</v>
      </c>
      <c r="E142" s="2">
        <v>202312</v>
      </c>
    </row>
    <row r="143" spans="1:5" x14ac:dyDescent="0.3">
      <c r="A143" s="3">
        <v>45280</v>
      </c>
      <c r="B143" s="2">
        <v>12</v>
      </c>
      <c r="C143" s="2" t="s">
        <v>5</v>
      </c>
      <c r="D143" s="2">
        <v>2023</v>
      </c>
      <c r="E143" s="2">
        <v>202312</v>
      </c>
    </row>
    <row r="144" spans="1:5" x14ac:dyDescent="0.3">
      <c r="A144" s="3">
        <v>45281</v>
      </c>
      <c r="B144" s="2">
        <v>12</v>
      </c>
      <c r="C144" s="2" t="s">
        <v>5</v>
      </c>
      <c r="D144" s="2">
        <v>2023</v>
      </c>
      <c r="E144" s="2">
        <v>202312</v>
      </c>
    </row>
    <row r="145" spans="1:5" x14ac:dyDescent="0.3">
      <c r="A145" s="3">
        <v>45282</v>
      </c>
      <c r="B145" s="2">
        <v>12</v>
      </c>
      <c r="C145" s="2" t="s">
        <v>5</v>
      </c>
      <c r="D145" s="2">
        <v>2023</v>
      </c>
      <c r="E145" s="2">
        <v>202312</v>
      </c>
    </row>
    <row r="146" spans="1:5" x14ac:dyDescent="0.3">
      <c r="A146" s="3">
        <v>45283</v>
      </c>
      <c r="B146" s="2">
        <v>12</v>
      </c>
      <c r="C146" s="2" t="s">
        <v>5</v>
      </c>
      <c r="D146" s="2">
        <v>2023</v>
      </c>
      <c r="E146" s="2">
        <v>202312</v>
      </c>
    </row>
    <row r="147" spans="1:5" x14ac:dyDescent="0.3">
      <c r="A147" s="3">
        <v>45284</v>
      </c>
      <c r="B147" s="2">
        <v>12</v>
      </c>
      <c r="C147" s="2" t="s">
        <v>5</v>
      </c>
      <c r="D147" s="2">
        <v>2023</v>
      </c>
      <c r="E147" s="2">
        <v>202312</v>
      </c>
    </row>
    <row r="148" spans="1:5" x14ac:dyDescent="0.3">
      <c r="A148" s="3">
        <v>45285</v>
      </c>
      <c r="B148" s="2">
        <v>12</v>
      </c>
      <c r="C148" s="2" t="s">
        <v>5</v>
      </c>
      <c r="D148" s="2">
        <v>2023</v>
      </c>
      <c r="E148" s="2">
        <v>202312</v>
      </c>
    </row>
    <row r="149" spans="1:5" x14ac:dyDescent="0.3">
      <c r="A149" s="3">
        <v>45286</v>
      </c>
      <c r="B149" s="2">
        <v>12</v>
      </c>
      <c r="C149" s="2" t="s">
        <v>5</v>
      </c>
      <c r="D149" s="2">
        <v>2023</v>
      </c>
      <c r="E149" s="2">
        <v>202312</v>
      </c>
    </row>
    <row r="150" spans="1:5" x14ac:dyDescent="0.3">
      <c r="A150" s="3">
        <v>45287</v>
      </c>
      <c r="B150" s="2">
        <v>12</v>
      </c>
      <c r="C150" s="2" t="s">
        <v>5</v>
      </c>
      <c r="D150" s="2">
        <v>2023</v>
      </c>
      <c r="E150" s="2">
        <v>202312</v>
      </c>
    </row>
    <row r="151" spans="1:5" x14ac:dyDescent="0.3">
      <c r="A151" s="3">
        <v>45288</v>
      </c>
      <c r="B151" s="2">
        <v>12</v>
      </c>
      <c r="C151" s="2" t="s">
        <v>5</v>
      </c>
      <c r="D151" s="2">
        <v>2023</v>
      </c>
      <c r="E151" s="2">
        <v>202312</v>
      </c>
    </row>
    <row r="152" spans="1:5" x14ac:dyDescent="0.3">
      <c r="A152" s="3">
        <v>45289</v>
      </c>
      <c r="B152" s="2">
        <v>12</v>
      </c>
      <c r="C152" s="2" t="s">
        <v>5</v>
      </c>
      <c r="D152" s="2">
        <v>2023</v>
      </c>
      <c r="E152" s="2">
        <v>202312</v>
      </c>
    </row>
    <row r="153" spans="1:5" x14ac:dyDescent="0.3">
      <c r="A153" s="3">
        <v>45290</v>
      </c>
      <c r="B153" s="2">
        <v>12</v>
      </c>
      <c r="C153" s="2" t="s">
        <v>5</v>
      </c>
      <c r="D153" s="2">
        <v>2023</v>
      </c>
      <c r="E153" s="2">
        <v>202312</v>
      </c>
    </row>
    <row r="154" spans="1:5" x14ac:dyDescent="0.3">
      <c r="A154" s="3">
        <v>45291</v>
      </c>
      <c r="B154" s="2">
        <v>12</v>
      </c>
      <c r="C154" s="2" t="s">
        <v>5</v>
      </c>
      <c r="D154" s="2">
        <v>2023</v>
      </c>
      <c r="E154" s="2">
        <v>202312</v>
      </c>
    </row>
    <row r="155" spans="1:5" x14ac:dyDescent="0.3">
      <c r="A155" s="3">
        <v>45292</v>
      </c>
      <c r="B155" s="2">
        <v>1</v>
      </c>
      <c r="C155" s="2" t="s">
        <v>178</v>
      </c>
      <c r="D155" s="2">
        <v>2024</v>
      </c>
      <c r="E155" s="2">
        <v>202401</v>
      </c>
    </row>
    <row r="156" spans="1:5" x14ac:dyDescent="0.3">
      <c r="A156" s="3">
        <v>45293</v>
      </c>
      <c r="B156" s="2">
        <v>1</v>
      </c>
      <c r="C156" s="2" t="s">
        <v>178</v>
      </c>
      <c r="D156" s="2">
        <v>2024</v>
      </c>
      <c r="E156" s="2">
        <v>202401</v>
      </c>
    </row>
    <row r="157" spans="1:5" x14ac:dyDescent="0.3">
      <c r="A157" s="3">
        <v>45294</v>
      </c>
      <c r="B157" s="2">
        <v>1</v>
      </c>
      <c r="C157" s="2" t="s">
        <v>178</v>
      </c>
      <c r="D157" s="2">
        <v>2024</v>
      </c>
      <c r="E157" s="2">
        <v>202401</v>
      </c>
    </row>
    <row r="158" spans="1:5" x14ac:dyDescent="0.3">
      <c r="A158" s="3">
        <v>45295</v>
      </c>
      <c r="B158" s="2">
        <v>1</v>
      </c>
      <c r="C158" s="2" t="s">
        <v>178</v>
      </c>
      <c r="D158" s="2">
        <v>2024</v>
      </c>
      <c r="E158" s="2">
        <v>202401</v>
      </c>
    </row>
    <row r="159" spans="1:5" x14ac:dyDescent="0.3">
      <c r="A159" s="3">
        <v>45296</v>
      </c>
      <c r="B159" s="2">
        <v>1</v>
      </c>
      <c r="C159" s="2" t="s">
        <v>178</v>
      </c>
      <c r="D159" s="2">
        <v>2024</v>
      </c>
      <c r="E159" s="2">
        <v>202401</v>
      </c>
    </row>
    <row r="160" spans="1:5" x14ac:dyDescent="0.3">
      <c r="A160" s="3">
        <v>45297</v>
      </c>
      <c r="B160" s="2">
        <v>1</v>
      </c>
      <c r="C160" s="2" t="s">
        <v>178</v>
      </c>
      <c r="D160" s="2">
        <v>2024</v>
      </c>
      <c r="E160" s="2">
        <v>202401</v>
      </c>
    </row>
    <row r="161" spans="1:5" x14ac:dyDescent="0.3">
      <c r="A161" s="3">
        <v>45298</v>
      </c>
      <c r="B161" s="2">
        <v>1</v>
      </c>
      <c r="C161" s="2" t="s">
        <v>178</v>
      </c>
      <c r="D161" s="2">
        <v>2024</v>
      </c>
      <c r="E161" s="2">
        <v>202401</v>
      </c>
    </row>
    <row r="162" spans="1:5" x14ac:dyDescent="0.3">
      <c r="A162" s="3">
        <v>45299</v>
      </c>
      <c r="B162" s="2">
        <v>1</v>
      </c>
      <c r="C162" s="2" t="s">
        <v>178</v>
      </c>
      <c r="D162" s="2">
        <v>2024</v>
      </c>
      <c r="E162" s="2">
        <v>202401</v>
      </c>
    </row>
    <row r="163" spans="1:5" x14ac:dyDescent="0.3">
      <c r="A163" s="3">
        <v>45300</v>
      </c>
      <c r="B163" s="2">
        <v>1</v>
      </c>
      <c r="C163" s="2" t="s">
        <v>178</v>
      </c>
      <c r="D163" s="2">
        <v>2024</v>
      </c>
      <c r="E163" s="2">
        <v>202401</v>
      </c>
    </row>
    <row r="164" spans="1:5" x14ac:dyDescent="0.3">
      <c r="A164" s="3">
        <v>45301</v>
      </c>
      <c r="B164" s="2">
        <v>1</v>
      </c>
      <c r="C164" s="2" t="s">
        <v>178</v>
      </c>
      <c r="D164" s="2">
        <v>2024</v>
      </c>
      <c r="E164" s="2">
        <v>202401</v>
      </c>
    </row>
    <row r="165" spans="1:5" x14ac:dyDescent="0.3">
      <c r="A165" s="3">
        <v>45302</v>
      </c>
      <c r="B165" s="2">
        <v>1</v>
      </c>
      <c r="C165" s="2" t="s">
        <v>178</v>
      </c>
      <c r="D165" s="2">
        <v>2024</v>
      </c>
      <c r="E165" s="2">
        <v>202401</v>
      </c>
    </row>
    <row r="166" spans="1:5" x14ac:dyDescent="0.3">
      <c r="A166" s="3">
        <v>45303</v>
      </c>
      <c r="B166" s="2">
        <v>1</v>
      </c>
      <c r="C166" s="2" t="s">
        <v>178</v>
      </c>
      <c r="D166" s="2">
        <v>2024</v>
      </c>
      <c r="E166" s="2">
        <v>202401</v>
      </c>
    </row>
    <row r="167" spans="1:5" x14ac:dyDescent="0.3">
      <c r="A167" s="3">
        <v>45304</v>
      </c>
      <c r="B167" s="2">
        <v>1</v>
      </c>
      <c r="C167" s="2" t="s">
        <v>178</v>
      </c>
      <c r="D167" s="2">
        <v>2024</v>
      </c>
      <c r="E167" s="2">
        <v>202401</v>
      </c>
    </row>
    <row r="168" spans="1:5" x14ac:dyDescent="0.3">
      <c r="A168" s="3">
        <v>45305</v>
      </c>
      <c r="B168" s="2">
        <v>1</v>
      </c>
      <c r="C168" s="2" t="s">
        <v>178</v>
      </c>
      <c r="D168" s="2">
        <v>2024</v>
      </c>
      <c r="E168" s="2">
        <v>202401</v>
      </c>
    </row>
    <row r="169" spans="1:5" x14ac:dyDescent="0.3">
      <c r="A169" s="3">
        <v>45306</v>
      </c>
      <c r="B169" s="2">
        <v>1</v>
      </c>
      <c r="C169" s="2" t="s">
        <v>178</v>
      </c>
      <c r="D169" s="2">
        <v>2024</v>
      </c>
      <c r="E169" s="2">
        <v>202401</v>
      </c>
    </row>
    <row r="170" spans="1:5" x14ac:dyDescent="0.3">
      <c r="A170" s="3">
        <v>45307</v>
      </c>
      <c r="B170" s="2">
        <v>1</v>
      </c>
      <c r="C170" s="2" t="s">
        <v>178</v>
      </c>
      <c r="D170" s="2">
        <v>2024</v>
      </c>
      <c r="E170" s="2">
        <v>202401</v>
      </c>
    </row>
    <row r="171" spans="1:5" x14ac:dyDescent="0.3">
      <c r="A171" s="3">
        <v>45308</v>
      </c>
      <c r="B171" s="2">
        <v>1</v>
      </c>
      <c r="C171" s="2" t="s">
        <v>178</v>
      </c>
      <c r="D171" s="2">
        <v>2024</v>
      </c>
      <c r="E171" s="2">
        <v>202401</v>
      </c>
    </row>
    <row r="172" spans="1:5" x14ac:dyDescent="0.3">
      <c r="A172" s="3">
        <v>45309</v>
      </c>
      <c r="B172" s="2">
        <v>1</v>
      </c>
      <c r="C172" s="2" t="s">
        <v>178</v>
      </c>
      <c r="D172" s="2">
        <v>2024</v>
      </c>
      <c r="E172" s="2">
        <v>202401</v>
      </c>
    </row>
    <row r="173" spans="1:5" x14ac:dyDescent="0.3">
      <c r="A173" s="3">
        <v>45310</v>
      </c>
      <c r="B173" s="2">
        <v>1</v>
      </c>
      <c r="C173" s="2" t="s">
        <v>178</v>
      </c>
      <c r="D173" s="2">
        <v>2024</v>
      </c>
      <c r="E173" s="2">
        <v>202401</v>
      </c>
    </row>
    <row r="174" spans="1:5" x14ac:dyDescent="0.3">
      <c r="A174" s="3">
        <v>45311</v>
      </c>
      <c r="B174" s="2">
        <v>1</v>
      </c>
      <c r="C174" s="2" t="s">
        <v>178</v>
      </c>
      <c r="D174" s="2">
        <v>2024</v>
      </c>
      <c r="E174" s="2">
        <v>202401</v>
      </c>
    </row>
    <row r="175" spans="1:5" x14ac:dyDescent="0.3">
      <c r="A175" s="3">
        <v>45312</v>
      </c>
      <c r="B175" s="2">
        <v>1</v>
      </c>
      <c r="C175" s="2" t="s">
        <v>178</v>
      </c>
      <c r="D175" s="2">
        <v>2024</v>
      </c>
      <c r="E175" s="2">
        <v>202401</v>
      </c>
    </row>
    <row r="176" spans="1:5" x14ac:dyDescent="0.3">
      <c r="A176" s="3">
        <v>45313</v>
      </c>
      <c r="B176" s="2">
        <v>1</v>
      </c>
      <c r="C176" s="2" t="s">
        <v>178</v>
      </c>
      <c r="D176" s="2">
        <v>2024</v>
      </c>
      <c r="E176" s="2">
        <v>202401</v>
      </c>
    </row>
    <row r="177" spans="1:5" x14ac:dyDescent="0.3">
      <c r="A177" s="3">
        <v>45314</v>
      </c>
      <c r="B177" s="2">
        <v>1</v>
      </c>
      <c r="C177" s="2" t="s">
        <v>178</v>
      </c>
      <c r="D177" s="2">
        <v>2024</v>
      </c>
      <c r="E177" s="2">
        <v>202401</v>
      </c>
    </row>
    <row r="178" spans="1:5" x14ac:dyDescent="0.3">
      <c r="A178" s="3">
        <v>45315</v>
      </c>
      <c r="B178" s="2">
        <v>1</v>
      </c>
      <c r="C178" s="2" t="s">
        <v>178</v>
      </c>
      <c r="D178" s="2">
        <v>2024</v>
      </c>
      <c r="E178" s="2">
        <v>202401</v>
      </c>
    </row>
    <row r="179" spans="1:5" x14ac:dyDescent="0.3">
      <c r="A179" s="3">
        <v>45316</v>
      </c>
      <c r="B179" s="2">
        <v>1</v>
      </c>
      <c r="C179" s="2" t="s">
        <v>178</v>
      </c>
      <c r="D179" s="2">
        <v>2024</v>
      </c>
      <c r="E179" s="2">
        <v>202401</v>
      </c>
    </row>
    <row r="180" spans="1:5" x14ac:dyDescent="0.3">
      <c r="A180" s="3">
        <v>45317</v>
      </c>
      <c r="B180" s="2">
        <v>1</v>
      </c>
      <c r="C180" s="2" t="s">
        <v>178</v>
      </c>
      <c r="D180" s="2">
        <v>2024</v>
      </c>
      <c r="E180" s="2">
        <v>202401</v>
      </c>
    </row>
    <row r="181" spans="1:5" x14ac:dyDescent="0.3">
      <c r="A181" s="3">
        <v>45318</v>
      </c>
      <c r="B181" s="2">
        <v>1</v>
      </c>
      <c r="C181" s="2" t="s">
        <v>178</v>
      </c>
      <c r="D181" s="2">
        <v>2024</v>
      </c>
      <c r="E181" s="2">
        <v>202401</v>
      </c>
    </row>
    <row r="182" spans="1:5" x14ac:dyDescent="0.3">
      <c r="A182" s="3">
        <v>45319</v>
      </c>
      <c r="B182" s="2">
        <v>1</v>
      </c>
      <c r="C182" s="2" t="s">
        <v>178</v>
      </c>
      <c r="D182" s="2">
        <v>2024</v>
      </c>
      <c r="E182" s="2">
        <v>202401</v>
      </c>
    </row>
    <row r="183" spans="1:5" x14ac:dyDescent="0.3">
      <c r="A183" s="3">
        <v>45320</v>
      </c>
      <c r="B183" s="2">
        <v>1</v>
      </c>
      <c r="C183" s="2" t="s">
        <v>178</v>
      </c>
      <c r="D183" s="2">
        <v>2024</v>
      </c>
      <c r="E183" s="2">
        <v>202401</v>
      </c>
    </row>
    <row r="184" spans="1:5" x14ac:dyDescent="0.3">
      <c r="A184" s="3">
        <v>45321</v>
      </c>
      <c r="B184" s="2">
        <v>1</v>
      </c>
      <c r="C184" s="2" t="s">
        <v>178</v>
      </c>
      <c r="D184" s="2">
        <v>2024</v>
      </c>
      <c r="E184" s="2">
        <v>202401</v>
      </c>
    </row>
    <row r="185" spans="1:5" x14ac:dyDescent="0.3">
      <c r="A185" s="3">
        <v>45322</v>
      </c>
      <c r="B185" s="2">
        <v>1</v>
      </c>
      <c r="C185" s="2" t="s">
        <v>178</v>
      </c>
      <c r="D185" s="2">
        <v>2024</v>
      </c>
      <c r="E185" s="2">
        <v>202401</v>
      </c>
    </row>
    <row r="186" spans="1:5" x14ac:dyDescent="0.3">
      <c r="A186" s="3">
        <v>45323</v>
      </c>
      <c r="B186" s="2">
        <v>2</v>
      </c>
      <c r="C186" s="2" t="s">
        <v>28</v>
      </c>
      <c r="D186" s="2">
        <v>2024</v>
      </c>
      <c r="E186" s="2">
        <v>202402</v>
      </c>
    </row>
    <row r="187" spans="1:5" x14ac:dyDescent="0.3">
      <c r="A187" s="3">
        <v>45324</v>
      </c>
      <c r="B187" s="2">
        <v>2</v>
      </c>
      <c r="C187" s="2" t="s">
        <v>28</v>
      </c>
      <c r="D187" s="2">
        <v>2024</v>
      </c>
      <c r="E187" s="2">
        <v>202402</v>
      </c>
    </row>
    <row r="188" spans="1:5" x14ac:dyDescent="0.3">
      <c r="A188" s="3">
        <v>45325</v>
      </c>
      <c r="B188" s="2">
        <v>2</v>
      </c>
      <c r="C188" s="2" t="s">
        <v>28</v>
      </c>
      <c r="D188" s="2">
        <v>2024</v>
      </c>
      <c r="E188" s="2">
        <v>202402</v>
      </c>
    </row>
    <row r="189" spans="1:5" x14ac:dyDescent="0.3">
      <c r="A189" s="3">
        <v>45326</v>
      </c>
      <c r="B189" s="2">
        <v>2</v>
      </c>
      <c r="C189" s="2" t="s">
        <v>28</v>
      </c>
      <c r="D189" s="2">
        <v>2024</v>
      </c>
      <c r="E189" s="2">
        <v>202402</v>
      </c>
    </row>
    <row r="190" spans="1:5" x14ac:dyDescent="0.3">
      <c r="A190" s="3">
        <v>45327</v>
      </c>
      <c r="B190" s="2">
        <v>2</v>
      </c>
      <c r="C190" s="2" t="s">
        <v>28</v>
      </c>
      <c r="D190" s="2">
        <v>2024</v>
      </c>
      <c r="E190" s="2">
        <v>202402</v>
      </c>
    </row>
    <row r="191" spans="1:5" x14ac:dyDescent="0.3">
      <c r="A191" s="3">
        <v>45328</v>
      </c>
      <c r="B191" s="2">
        <v>2</v>
      </c>
      <c r="C191" s="2" t="s">
        <v>28</v>
      </c>
      <c r="D191" s="2">
        <v>2024</v>
      </c>
      <c r="E191" s="2">
        <v>202402</v>
      </c>
    </row>
    <row r="192" spans="1:5" x14ac:dyDescent="0.3">
      <c r="A192" s="3">
        <v>45329</v>
      </c>
      <c r="B192" s="2">
        <v>2</v>
      </c>
      <c r="C192" s="2" t="s">
        <v>28</v>
      </c>
      <c r="D192" s="2">
        <v>2024</v>
      </c>
      <c r="E192" s="2">
        <v>202402</v>
      </c>
    </row>
    <row r="193" spans="1:5" x14ac:dyDescent="0.3">
      <c r="A193" s="3">
        <v>45330</v>
      </c>
      <c r="B193" s="2">
        <v>2</v>
      </c>
      <c r="C193" s="2" t="s">
        <v>28</v>
      </c>
      <c r="D193" s="2">
        <v>2024</v>
      </c>
      <c r="E193" s="2">
        <v>202402</v>
      </c>
    </row>
    <row r="194" spans="1:5" x14ac:dyDescent="0.3">
      <c r="A194" s="3">
        <v>45331</v>
      </c>
      <c r="B194" s="2">
        <v>2</v>
      </c>
      <c r="C194" s="2" t="s">
        <v>28</v>
      </c>
      <c r="D194" s="2">
        <v>2024</v>
      </c>
      <c r="E194" s="2">
        <v>202402</v>
      </c>
    </row>
    <row r="195" spans="1:5" x14ac:dyDescent="0.3">
      <c r="A195" s="3">
        <v>45332</v>
      </c>
      <c r="B195" s="2">
        <v>2</v>
      </c>
      <c r="C195" s="2" t="s">
        <v>28</v>
      </c>
      <c r="D195" s="2">
        <v>2024</v>
      </c>
      <c r="E195" s="2">
        <v>202402</v>
      </c>
    </row>
    <row r="196" spans="1:5" x14ac:dyDescent="0.3">
      <c r="A196" s="3">
        <v>45333</v>
      </c>
      <c r="B196" s="2">
        <v>2</v>
      </c>
      <c r="C196" s="2" t="s">
        <v>28</v>
      </c>
      <c r="D196" s="2">
        <v>2024</v>
      </c>
      <c r="E196" s="2">
        <v>202402</v>
      </c>
    </row>
    <row r="197" spans="1:5" x14ac:dyDescent="0.3">
      <c r="A197" s="3">
        <v>45334</v>
      </c>
      <c r="B197" s="2">
        <v>2</v>
      </c>
      <c r="C197" s="2" t="s">
        <v>28</v>
      </c>
      <c r="D197" s="2">
        <v>2024</v>
      </c>
      <c r="E197" s="2">
        <v>202402</v>
      </c>
    </row>
    <row r="198" spans="1:5" x14ac:dyDescent="0.3">
      <c r="A198" s="3">
        <v>45335</v>
      </c>
      <c r="B198" s="2">
        <v>2</v>
      </c>
      <c r="C198" s="2" t="s">
        <v>28</v>
      </c>
      <c r="D198" s="2">
        <v>2024</v>
      </c>
      <c r="E198" s="2">
        <v>202402</v>
      </c>
    </row>
    <row r="199" spans="1:5" x14ac:dyDescent="0.3">
      <c r="A199" s="3">
        <v>45336</v>
      </c>
      <c r="B199" s="2">
        <v>2</v>
      </c>
      <c r="C199" s="2" t="s">
        <v>28</v>
      </c>
      <c r="D199" s="2">
        <v>2024</v>
      </c>
      <c r="E199" s="2">
        <v>202402</v>
      </c>
    </row>
    <row r="200" spans="1:5" x14ac:dyDescent="0.3">
      <c r="A200" s="3">
        <v>45337</v>
      </c>
      <c r="B200" s="2">
        <v>2</v>
      </c>
      <c r="C200" s="2" t="s">
        <v>28</v>
      </c>
      <c r="D200" s="2">
        <v>2024</v>
      </c>
      <c r="E200" s="2">
        <v>202402</v>
      </c>
    </row>
    <row r="201" spans="1:5" x14ac:dyDescent="0.3">
      <c r="A201" s="3">
        <v>45338</v>
      </c>
      <c r="B201" s="2">
        <v>2</v>
      </c>
      <c r="C201" s="2" t="s">
        <v>28</v>
      </c>
      <c r="D201" s="2">
        <v>2024</v>
      </c>
      <c r="E201" s="2">
        <v>202402</v>
      </c>
    </row>
    <row r="202" spans="1:5" x14ac:dyDescent="0.3">
      <c r="A202" s="3">
        <v>45339</v>
      </c>
      <c r="B202" s="2">
        <v>2</v>
      </c>
      <c r="C202" s="2" t="s">
        <v>28</v>
      </c>
      <c r="D202" s="2">
        <v>2024</v>
      </c>
      <c r="E202" s="2">
        <v>202402</v>
      </c>
    </row>
    <row r="203" spans="1:5" x14ac:dyDescent="0.3">
      <c r="A203" s="3">
        <v>45340</v>
      </c>
      <c r="B203" s="2">
        <v>2</v>
      </c>
      <c r="C203" s="2" t="s">
        <v>28</v>
      </c>
      <c r="D203" s="2">
        <v>2024</v>
      </c>
      <c r="E203" s="2">
        <v>202402</v>
      </c>
    </row>
    <row r="204" spans="1:5" x14ac:dyDescent="0.3">
      <c r="A204" s="3">
        <v>45341</v>
      </c>
      <c r="B204" s="2">
        <v>2</v>
      </c>
      <c r="C204" s="2" t="s">
        <v>28</v>
      </c>
      <c r="D204" s="2">
        <v>2024</v>
      </c>
      <c r="E204" s="2">
        <v>202402</v>
      </c>
    </row>
    <row r="205" spans="1:5" x14ac:dyDescent="0.3">
      <c r="A205" s="3">
        <v>45342</v>
      </c>
      <c r="B205" s="2">
        <v>2</v>
      </c>
      <c r="C205" s="2" t="s">
        <v>28</v>
      </c>
      <c r="D205" s="2">
        <v>2024</v>
      </c>
      <c r="E205" s="2">
        <v>202402</v>
      </c>
    </row>
    <row r="206" spans="1:5" x14ac:dyDescent="0.3">
      <c r="A206" s="3">
        <v>45343</v>
      </c>
      <c r="B206" s="2">
        <v>2</v>
      </c>
      <c r="C206" s="2" t="s">
        <v>28</v>
      </c>
      <c r="D206" s="2">
        <v>2024</v>
      </c>
      <c r="E206" s="2">
        <v>202402</v>
      </c>
    </row>
    <row r="207" spans="1:5" x14ac:dyDescent="0.3">
      <c r="A207" s="3">
        <v>45344</v>
      </c>
      <c r="B207" s="2">
        <v>2</v>
      </c>
      <c r="C207" s="2" t="s">
        <v>28</v>
      </c>
      <c r="D207" s="2">
        <v>2024</v>
      </c>
      <c r="E207" s="2">
        <v>202402</v>
      </c>
    </row>
    <row r="208" spans="1:5" x14ac:dyDescent="0.3">
      <c r="A208" s="3">
        <v>45345</v>
      </c>
      <c r="B208" s="2">
        <v>2</v>
      </c>
      <c r="C208" s="2" t="s">
        <v>28</v>
      </c>
      <c r="D208" s="2">
        <v>2024</v>
      </c>
      <c r="E208" s="2">
        <v>202402</v>
      </c>
    </row>
    <row r="209" spans="1:5" x14ac:dyDescent="0.3">
      <c r="A209" s="3">
        <v>45346</v>
      </c>
      <c r="B209" s="2">
        <v>2</v>
      </c>
      <c r="C209" s="2" t="s">
        <v>28</v>
      </c>
      <c r="D209" s="2">
        <v>2024</v>
      </c>
      <c r="E209" s="2">
        <v>202402</v>
      </c>
    </row>
    <row r="210" spans="1:5" x14ac:dyDescent="0.3">
      <c r="A210" s="3">
        <v>45347</v>
      </c>
      <c r="B210" s="2">
        <v>2</v>
      </c>
      <c r="C210" s="2" t="s">
        <v>28</v>
      </c>
      <c r="D210" s="2">
        <v>2024</v>
      </c>
      <c r="E210" s="2">
        <v>202402</v>
      </c>
    </row>
    <row r="211" spans="1:5" x14ac:dyDescent="0.3">
      <c r="A211" s="3">
        <v>45348</v>
      </c>
      <c r="B211" s="2">
        <v>2</v>
      </c>
      <c r="C211" s="2" t="s">
        <v>28</v>
      </c>
      <c r="D211" s="2">
        <v>2024</v>
      </c>
      <c r="E211" s="2">
        <v>202402</v>
      </c>
    </row>
    <row r="212" spans="1:5" x14ac:dyDescent="0.3">
      <c r="A212" s="3">
        <v>45349</v>
      </c>
      <c r="B212" s="2">
        <v>2</v>
      </c>
      <c r="C212" s="2" t="s">
        <v>28</v>
      </c>
      <c r="D212" s="2">
        <v>2024</v>
      </c>
      <c r="E212" s="2">
        <v>202402</v>
      </c>
    </row>
    <row r="213" spans="1:5" x14ac:dyDescent="0.3">
      <c r="A213" s="3">
        <v>45350</v>
      </c>
      <c r="B213" s="2">
        <v>2</v>
      </c>
      <c r="C213" s="2" t="s">
        <v>28</v>
      </c>
      <c r="D213" s="2">
        <v>2024</v>
      </c>
      <c r="E213" s="2">
        <v>202402</v>
      </c>
    </row>
    <row r="214" spans="1:5" x14ac:dyDescent="0.3">
      <c r="A214" s="3">
        <v>45351</v>
      </c>
      <c r="B214" s="2">
        <v>2</v>
      </c>
      <c r="C214" s="2" t="s">
        <v>28</v>
      </c>
      <c r="D214" s="2">
        <v>2024</v>
      </c>
      <c r="E214" s="2">
        <v>202402</v>
      </c>
    </row>
    <row r="215" spans="1:5" x14ac:dyDescent="0.3">
      <c r="A215" s="3">
        <v>45352</v>
      </c>
      <c r="B215" s="2">
        <v>3</v>
      </c>
      <c r="C215" s="2" t="s">
        <v>29</v>
      </c>
      <c r="D215" s="2">
        <v>2024</v>
      </c>
      <c r="E215" s="2">
        <v>202403</v>
      </c>
    </row>
    <row r="216" spans="1:5" x14ac:dyDescent="0.3">
      <c r="A216" s="3">
        <v>45353</v>
      </c>
      <c r="B216" s="2">
        <v>3</v>
      </c>
      <c r="C216" s="2" t="s">
        <v>29</v>
      </c>
      <c r="D216" s="2">
        <v>2024</v>
      </c>
      <c r="E216" s="2">
        <v>202403</v>
      </c>
    </row>
    <row r="217" spans="1:5" x14ac:dyDescent="0.3">
      <c r="A217" s="3">
        <v>45354</v>
      </c>
      <c r="B217" s="2">
        <v>3</v>
      </c>
      <c r="C217" s="2" t="s">
        <v>29</v>
      </c>
      <c r="D217" s="2">
        <v>2024</v>
      </c>
      <c r="E217" s="2">
        <v>202403</v>
      </c>
    </row>
    <row r="218" spans="1:5" x14ac:dyDescent="0.3">
      <c r="A218" s="3">
        <v>45355</v>
      </c>
      <c r="B218" s="2">
        <v>3</v>
      </c>
      <c r="C218" s="2" t="s">
        <v>29</v>
      </c>
      <c r="D218" s="2">
        <v>2024</v>
      </c>
      <c r="E218" s="2">
        <v>202403</v>
      </c>
    </row>
    <row r="219" spans="1:5" x14ac:dyDescent="0.3">
      <c r="A219" s="3">
        <v>45356</v>
      </c>
      <c r="B219" s="2">
        <v>3</v>
      </c>
      <c r="C219" s="2" t="s">
        <v>29</v>
      </c>
      <c r="D219" s="2">
        <v>2024</v>
      </c>
      <c r="E219" s="2">
        <v>202403</v>
      </c>
    </row>
    <row r="220" spans="1:5" x14ac:dyDescent="0.3">
      <c r="A220" s="3">
        <v>45357</v>
      </c>
      <c r="B220" s="2">
        <v>3</v>
      </c>
      <c r="C220" s="2" t="s">
        <v>29</v>
      </c>
      <c r="D220" s="2">
        <v>2024</v>
      </c>
      <c r="E220" s="2">
        <v>202403</v>
      </c>
    </row>
    <row r="221" spans="1:5" x14ac:dyDescent="0.3">
      <c r="A221" s="3">
        <v>45358</v>
      </c>
      <c r="B221" s="2">
        <v>3</v>
      </c>
      <c r="C221" s="2" t="s">
        <v>29</v>
      </c>
      <c r="D221" s="2">
        <v>2024</v>
      </c>
      <c r="E221" s="2">
        <v>202403</v>
      </c>
    </row>
    <row r="222" spans="1:5" x14ac:dyDescent="0.3">
      <c r="A222" s="3">
        <v>45359</v>
      </c>
      <c r="B222" s="2">
        <v>3</v>
      </c>
      <c r="C222" s="2" t="s">
        <v>29</v>
      </c>
      <c r="D222" s="2">
        <v>2024</v>
      </c>
      <c r="E222" s="2">
        <v>202403</v>
      </c>
    </row>
    <row r="223" spans="1:5" x14ac:dyDescent="0.3">
      <c r="A223" s="3">
        <v>45360</v>
      </c>
      <c r="B223" s="2">
        <v>3</v>
      </c>
      <c r="C223" s="2" t="s">
        <v>29</v>
      </c>
      <c r="D223" s="2">
        <v>2024</v>
      </c>
      <c r="E223" s="2">
        <v>202403</v>
      </c>
    </row>
    <row r="224" spans="1:5" x14ac:dyDescent="0.3">
      <c r="A224" s="3">
        <v>45361</v>
      </c>
      <c r="B224" s="2">
        <v>3</v>
      </c>
      <c r="C224" s="2" t="s">
        <v>29</v>
      </c>
      <c r="D224" s="2">
        <v>2024</v>
      </c>
      <c r="E224" s="2">
        <v>202403</v>
      </c>
    </row>
    <row r="225" spans="1:5" x14ac:dyDescent="0.3">
      <c r="A225" s="3">
        <v>45362</v>
      </c>
      <c r="B225" s="2">
        <v>3</v>
      </c>
      <c r="C225" s="2" t="s">
        <v>29</v>
      </c>
      <c r="D225" s="2">
        <v>2024</v>
      </c>
      <c r="E225" s="2">
        <v>202403</v>
      </c>
    </row>
    <row r="226" spans="1:5" x14ac:dyDescent="0.3">
      <c r="A226" s="3">
        <v>45363</v>
      </c>
      <c r="B226" s="2">
        <v>3</v>
      </c>
      <c r="C226" s="2" t="s">
        <v>29</v>
      </c>
      <c r="D226" s="2">
        <v>2024</v>
      </c>
      <c r="E226" s="2">
        <v>202403</v>
      </c>
    </row>
    <row r="227" spans="1:5" x14ac:dyDescent="0.3">
      <c r="A227" s="3">
        <v>45364</v>
      </c>
      <c r="B227" s="2">
        <v>3</v>
      </c>
      <c r="C227" s="2" t="s">
        <v>29</v>
      </c>
      <c r="D227" s="2">
        <v>2024</v>
      </c>
      <c r="E227" s="2">
        <v>202403</v>
      </c>
    </row>
    <row r="228" spans="1:5" x14ac:dyDescent="0.3">
      <c r="A228" s="3">
        <v>45365</v>
      </c>
      <c r="B228" s="2">
        <v>3</v>
      </c>
      <c r="C228" s="2" t="s">
        <v>29</v>
      </c>
      <c r="D228" s="2">
        <v>2024</v>
      </c>
      <c r="E228" s="2">
        <v>202403</v>
      </c>
    </row>
    <row r="229" spans="1:5" x14ac:dyDescent="0.3">
      <c r="A229" s="3">
        <v>45366</v>
      </c>
      <c r="B229" s="2">
        <v>3</v>
      </c>
      <c r="C229" s="2" t="s">
        <v>29</v>
      </c>
      <c r="D229" s="2">
        <v>2024</v>
      </c>
      <c r="E229" s="2">
        <v>202403</v>
      </c>
    </row>
    <row r="230" spans="1:5" x14ac:dyDescent="0.3">
      <c r="A230" s="3">
        <v>45367</v>
      </c>
      <c r="B230" s="2">
        <v>3</v>
      </c>
      <c r="C230" s="2" t="s">
        <v>29</v>
      </c>
      <c r="D230" s="2">
        <v>2024</v>
      </c>
      <c r="E230" s="2">
        <v>202403</v>
      </c>
    </row>
    <row r="231" spans="1:5" x14ac:dyDescent="0.3">
      <c r="A231" s="3">
        <v>45368</v>
      </c>
      <c r="B231" s="2">
        <v>3</v>
      </c>
      <c r="C231" s="2" t="s">
        <v>29</v>
      </c>
      <c r="D231" s="2">
        <v>2024</v>
      </c>
      <c r="E231" s="2">
        <v>202403</v>
      </c>
    </row>
    <row r="232" spans="1:5" x14ac:dyDescent="0.3">
      <c r="A232" s="3">
        <v>45369</v>
      </c>
      <c r="B232" s="2">
        <v>3</v>
      </c>
      <c r="C232" s="2" t="s">
        <v>29</v>
      </c>
      <c r="D232" s="2">
        <v>2024</v>
      </c>
      <c r="E232" s="2">
        <v>202403</v>
      </c>
    </row>
    <row r="233" spans="1:5" x14ac:dyDescent="0.3">
      <c r="A233" s="3">
        <v>45370</v>
      </c>
      <c r="B233" s="2">
        <v>3</v>
      </c>
      <c r="C233" s="2" t="s">
        <v>29</v>
      </c>
      <c r="D233" s="2">
        <v>2024</v>
      </c>
      <c r="E233" s="2">
        <v>202403</v>
      </c>
    </row>
    <row r="234" spans="1:5" x14ac:dyDescent="0.3">
      <c r="A234" s="3">
        <v>45371</v>
      </c>
      <c r="B234" s="2">
        <v>3</v>
      </c>
      <c r="C234" s="2" t="s">
        <v>29</v>
      </c>
      <c r="D234" s="2">
        <v>2024</v>
      </c>
      <c r="E234" s="2">
        <v>202403</v>
      </c>
    </row>
    <row r="235" spans="1:5" x14ac:dyDescent="0.3">
      <c r="A235" s="3">
        <v>45372</v>
      </c>
      <c r="B235" s="2">
        <v>3</v>
      </c>
      <c r="C235" s="2" t="s">
        <v>29</v>
      </c>
      <c r="D235" s="2">
        <v>2024</v>
      </c>
      <c r="E235" s="2">
        <v>202403</v>
      </c>
    </row>
    <row r="236" spans="1:5" x14ac:dyDescent="0.3">
      <c r="A236" s="3">
        <v>45373</v>
      </c>
      <c r="B236" s="2">
        <v>3</v>
      </c>
      <c r="C236" s="2" t="s">
        <v>29</v>
      </c>
      <c r="D236" s="2">
        <v>2024</v>
      </c>
      <c r="E236" s="2">
        <v>202403</v>
      </c>
    </row>
    <row r="237" spans="1:5" x14ac:dyDescent="0.3">
      <c r="A237" s="3">
        <v>45374</v>
      </c>
      <c r="B237" s="2">
        <v>3</v>
      </c>
      <c r="C237" s="2" t="s">
        <v>29</v>
      </c>
      <c r="D237" s="2">
        <v>2024</v>
      </c>
      <c r="E237" s="2">
        <v>202403</v>
      </c>
    </row>
    <row r="238" spans="1:5" x14ac:dyDescent="0.3">
      <c r="A238" s="3">
        <v>45375</v>
      </c>
      <c r="B238" s="2">
        <v>3</v>
      </c>
      <c r="C238" s="2" t="s">
        <v>29</v>
      </c>
      <c r="D238" s="2">
        <v>2024</v>
      </c>
      <c r="E238" s="2">
        <v>202403</v>
      </c>
    </row>
    <row r="239" spans="1:5" x14ac:dyDescent="0.3">
      <c r="A239" s="3">
        <v>45376</v>
      </c>
      <c r="B239" s="2">
        <v>3</v>
      </c>
      <c r="C239" s="2" t="s">
        <v>29</v>
      </c>
      <c r="D239" s="2">
        <v>2024</v>
      </c>
      <c r="E239" s="2">
        <v>202403</v>
      </c>
    </row>
    <row r="240" spans="1:5" x14ac:dyDescent="0.3">
      <c r="A240" s="3">
        <v>45377</v>
      </c>
      <c r="B240" s="2">
        <v>3</v>
      </c>
      <c r="C240" s="2" t="s">
        <v>29</v>
      </c>
      <c r="D240" s="2">
        <v>2024</v>
      </c>
      <c r="E240" s="2">
        <v>202403</v>
      </c>
    </row>
    <row r="241" spans="1:5" x14ac:dyDescent="0.3">
      <c r="A241" s="3">
        <v>45378</v>
      </c>
      <c r="B241" s="2">
        <v>3</v>
      </c>
      <c r="C241" s="2" t="s">
        <v>29</v>
      </c>
      <c r="D241" s="2">
        <v>2024</v>
      </c>
      <c r="E241" s="2">
        <v>202403</v>
      </c>
    </row>
    <row r="242" spans="1:5" x14ac:dyDescent="0.3">
      <c r="A242" s="3">
        <v>45379</v>
      </c>
      <c r="B242" s="2">
        <v>3</v>
      </c>
      <c r="C242" s="2" t="s">
        <v>29</v>
      </c>
      <c r="D242" s="2">
        <v>2024</v>
      </c>
      <c r="E242" s="2">
        <v>202403</v>
      </c>
    </row>
    <row r="243" spans="1:5" x14ac:dyDescent="0.3">
      <c r="A243" s="3">
        <v>45380</v>
      </c>
      <c r="B243" s="2">
        <v>3</v>
      </c>
      <c r="C243" s="2" t="s">
        <v>29</v>
      </c>
      <c r="D243" s="2">
        <v>2024</v>
      </c>
      <c r="E243" s="2">
        <v>202403</v>
      </c>
    </row>
    <row r="244" spans="1:5" x14ac:dyDescent="0.3">
      <c r="A244" s="3">
        <v>45381</v>
      </c>
      <c r="B244" s="2">
        <v>3</v>
      </c>
      <c r="C244" s="2" t="s">
        <v>29</v>
      </c>
      <c r="D244" s="2">
        <v>2024</v>
      </c>
      <c r="E244" s="2">
        <v>202403</v>
      </c>
    </row>
    <row r="245" spans="1:5" x14ac:dyDescent="0.3">
      <c r="A245" s="3">
        <v>45382</v>
      </c>
      <c r="B245" s="2">
        <v>3</v>
      </c>
      <c r="C245" s="2" t="s">
        <v>29</v>
      </c>
      <c r="D245" s="2">
        <v>2024</v>
      </c>
      <c r="E245" s="2">
        <v>202403</v>
      </c>
    </row>
    <row r="246" spans="1:5" x14ac:dyDescent="0.3">
      <c r="A246" s="3">
        <v>45383</v>
      </c>
      <c r="B246" s="2">
        <v>4</v>
      </c>
      <c r="C246" s="2" t="s">
        <v>30</v>
      </c>
      <c r="D246" s="2">
        <v>2024</v>
      </c>
      <c r="E246" s="2">
        <v>202404</v>
      </c>
    </row>
    <row r="247" spans="1:5" x14ac:dyDescent="0.3">
      <c r="A247" s="3">
        <v>45384</v>
      </c>
      <c r="B247" s="2">
        <v>4</v>
      </c>
      <c r="C247" s="2" t="s">
        <v>30</v>
      </c>
      <c r="D247" s="2">
        <v>2024</v>
      </c>
      <c r="E247" s="2">
        <v>202404</v>
      </c>
    </row>
    <row r="248" spans="1:5" x14ac:dyDescent="0.3">
      <c r="A248" s="3">
        <v>45385</v>
      </c>
      <c r="B248" s="2">
        <v>4</v>
      </c>
      <c r="C248" s="2" t="s">
        <v>30</v>
      </c>
      <c r="D248" s="2">
        <v>2024</v>
      </c>
      <c r="E248" s="2">
        <v>202404</v>
      </c>
    </row>
    <row r="249" spans="1:5" x14ac:dyDescent="0.3">
      <c r="A249" s="3">
        <v>45386</v>
      </c>
      <c r="B249" s="2">
        <v>4</v>
      </c>
      <c r="C249" s="2" t="s">
        <v>30</v>
      </c>
      <c r="D249" s="2">
        <v>2024</v>
      </c>
      <c r="E249" s="2">
        <v>202404</v>
      </c>
    </row>
    <row r="250" spans="1:5" x14ac:dyDescent="0.3">
      <c r="A250" s="3">
        <v>45387</v>
      </c>
      <c r="B250" s="2">
        <v>4</v>
      </c>
      <c r="C250" s="2" t="s">
        <v>30</v>
      </c>
      <c r="D250" s="2">
        <v>2024</v>
      </c>
      <c r="E250" s="2">
        <v>202404</v>
      </c>
    </row>
    <row r="251" spans="1:5" x14ac:dyDescent="0.3">
      <c r="A251" s="3">
        <v>45388</v>
      </c>
      <c r="B251" s="2">
        <v>4</v>
      </c>
      <c r="C251" s="2" t="s">
        <v>30</v>
      </c>
      <c r="D251" s="2">
        <v>2024</v>
      </c>
      <c r="E251" s="2">
        <v>202404</v>
      </c>
    </row>
    <row r="252" spans="1:5" x14ac:dyDescent="0.3">
      <c r="A252" s="3">
        <v>45389</v>
      </c>
      <c r="B252" s="2">
        <v>4</v>
      </c>
      <c r="C252" s="2" t="s">
        <v>30</v>
      </c>
      <c r="D252" s="2">
        <v>2024</v>
      </c>
      <c r="E252" s="2">
        <v>202404</v>
      </c>
    </row>
    <row r="253" spans="1:5" x14ac:dyDescent="0.3">
      <c r="A253" s="3">
        <v>45390</v>
      </c>
      <c r="B253" s="2">
        <v>4</v>
      </c>
      <c r="C253" s="2" t="s">
        <v>30</v>
      </c>
      <c r="D253" s="2">
        <v>2024</v>
      </c>
      <c r="E253" s="2">
        <v>202404</v>
      </c>
    </row>
    <row r="254" spans="1:5" x14ac:dyDescent="0.3">
      <c r="A254" s="3">
        <v>45391</v>
      </c>
      <c r="B254" s="2">
        <v>4</v>
      </c>
      <c r="C254" s="2" t="s">
        <v>30</v>
      </c>
      <c r="D254" s="2">
        <v>2024</v>
      </c>
      <c r="E254" s="2">
        <v>202404</v>
      </c>
    </row>
    <row r="255" spans="1:5" x14ac:dyDescent="0.3">
      <c r="A255" s="3">
        <v>45392</v>
      </c>
      <c r="B255" s="2">
        <v>4</v>
      </c>
      <c r="C255" s="2" t="s">
        <v>30</v>
      </c>
      <c r="D255" s="2">
        <v>2024</v>
      </c>
      <c r="E255" s="2">
        <v>202404</v>
      </c>
    </row>
    <row r="256" spans="1:5" x14ac:dyDescent="0.3">
      <c r="A256" s="3">
        <v>45393</v>
      </c>
      <c r="B256" s="2">
        <v>4</v>
      </c>
      <c r="C256" s="2" t="s">
        <v>30</v>
      </c>
      <c r="D256" s="2">
        <v>2024</v>
      </c>
      <c r="E256" s="2">
        <v>202404</v>
      </c>
    </row>
    <row r="257" spans="1:5" x14ac:dyDescent="0.3">
      <c r="A257" s="3">
        <v>45394</v>
      </c>
      <c r="B257" s="2">
        <v>4</v>
      </c>
      <c r="C257" s="2" t="s">
        <v>30</v>
      </c>
      <c r="D257" s="2">
        <v>2024</v>
      </c>
      <c r="E257" s="2">
        <v>202404</v>
      </c>
    </row>
    <row r="258" spans="1:5" x14ac:dyDescent="0.3">
      <c r="A258" s="3">
        <v>45395</v>
      </c>
      <c r="B258" s="2">
        <v>4</v>
      </c>
      <c r="C258" s="2" t="s">
        <v>30</v>
      </c>
      <c r="D258" s="2">
        <v>2024</v>
      </c>
      <c r="E258" s="2">
        <v>202404</v>
      </c>
    </row>
    <row r="259" spans="1:5" x14ac:dyDescent="0.3">
      <c r="A259" s="3">
        <v>45396</v>
      </c>
      <c r="B259" s="2">
        <v>4</v>
      </c>
      <c r="C259" s="2" t="s">
        <v>30</v>
      </c>
      <c r="D259" s="2">
        <v>2024</v>
      </c>
      <c r="E259" s="2">
        <v>202404</v>
      </c>
    </row>
    <row r="260" spans="1:5" x14ac:dyDescent="0.3">
      <c r="A260" s="3">
        <v>45397</v>
      </c>
      <c r="B260" s="2">
        <v>4</v>
      </c>
      <c r="C260" s="2" t="s">
        <v>30</v>
      </c>
      <c r="D260" s="2">
        <v>2024</v>
      </c>
      <c r="E260" s="2">
        <v>202404</v>
      </c>
    </row>
    <row r="261" spans="1:5" x14ac:dyDescent="0.3">
      <c r="A261" s="3">
        <v>45398</v>
      </c>
      <c r="B261" s="2">
        <v>4</v>
      </c>
      <c r="C261" s="2" t="s">
        <v>30</v>
      </c>
      <c r="D261" s="2">
        <v>2024</v>
      </c>
      <c r="E261" s="2">
        <v>202404</v>
      </c>
    </row>
    <row r="262" spans="1:5" x14ac:dyDescent="0.3">
      <c r="A262" s="3">
        <v>45399</v>
      </c>
      <c r="B262" s="2">
        <v>4</v>
      </c>
      <c r="C262" s="2" t="s">
        <v>30</v>
      </c>
      <c r="D262" s="2">
        <v>2024</v>
      </c>
      <c r="E262" s="2">
        <v>202404</v>
      </c>
    </row>
    <row r="263" spans="1:5" x14ac:dyDescent="0.3">
      <c r="A263" s="3">
        <v>45400</v>
      </c>
      <c r="B263" s="2">
        <v>4</v>
      </c>
      <c r="C263" s="2" t="s">
        <v>30</v>
      </c>
      <c r="D263" s="2">
        <v>2024</v>
      </c>
      <c r="E263" s="2">
        <v>202404</v>
      </c>
    </row>
    <row r="264" spans="1:5" x14ac:dyDescent="0.3">
      <c r="A264" s="3">
        <v>45401</v>
      </c>
      <c r="B264" s="2">
        <v>4</v>
      </c>
      <c r="C264" s="2" t="s">
        <v>30</v>
      </c>
      <c r="D264" s="2">
        <v>2024</v>
      </c>
      <c r="E264" s="2">
        <v>202404</v>
      </c>
    </row>
    <row r="265" spans="1:5" x14ac:dyDescent="0.3">
      <c r="A265" s="3">
        <v>45402</v>
      </c>
      <c r="B265" s="2">
        <v>4</v>
      </c>
      <c r="C265" s="2" t="s">
        <v>30</v>
      </c>
      <c r="D265" s="2">
        <v>2024</v>
      </c>
      <c r="E265" s="2">
        <v>202404</v>
      </c>
    </row>
    <row r="266" spans="1:5" x14ac:dyDescent="0.3">
      <c r="A266" s="3">
        <v>45403</v>
      </c>
      <c r="B266" s="2">
        <v>4</v>
      </c>
      <c r="C266" s="2" t="s">
        <v>30</v>
      </c>
      <c r="D266" s="2">
        <v>2024</v>
      </c>
      <c r="E266" s="2">
        <v>202404</v>
      </c>
    </row>
    <row r="267" spans="1:5" x14ac:dyDescent="0.3">
      <c r="A267" s="3">
        <v>45404</v>
      </c>
      <c r="B267" s="2">
        <v>4</v>
      </c>
      <c r="C267" s="2" t="s">
        <v>30</v>
      </c>
      <c r="D267" s="2">
        <v>2024</v>
      </c>
      <c r="E267" s="2">
        <v>202404</v>
      </c>
    </row>
    <row r="268" spans="1:5" x14ac:dyDescent="0.3">
      <c r="A268" s="3">
        <v>45405</v>
      </c>
      <c r="B268" s="2">
        <v>4</v>
      </c>
      <c r="C268" s="2" t="s">
        <v>30</v>
      </c>
      <c r="D268" s="2">
        <v>2024</v>
      </c>
      <c r="E268" s="2">
        <v>202404</v>
      </c>
    </row>
    <row r="269" spans="1:5" x14ac:dyDescent="0.3">
      <c r="A269" s="3">
        <v>45406</v>
      </c>
      <c r="B269" s="2">
        <v>4</v>
      </c>
      <c r="C269" s="2" t="s">
        <v>30</v>
      </c>
      <c r="D269" s="2">
        <v>2024</v>
      </c>
      <c r="E269" s="2">
        <v>202404</v>
      </c>
    </row>
    <row r="270" spans="1:5" x14ac:dyDescent="0.3">
      <c r="A270" s="3">
        <v>45407</v>
      </c>
      <c r="B270" s="2">
        <v>4</v>
      </c>
      <c r="C270" s="2" t="s">
        <v>30</v>
      </c>
      <c r="D270" s="2">
        <v>2024</v>
      </c>
      <c r="E270" s="2">
        <v>202404</v>
      </c>
    </row>
    <row r="271" spans="1:5" x14ac:dyDescent="0.3">
      <c r="A271" s="3">
        <v>45408</v>
      </c>
      <c r="B271" s="2">
        <v>4</v>
      </c>
      <c r="C271" s="2" t="s">
        <v>30</v>
      </c>
      <c r="D271" s="2">
        <v>2024</v>
      </c>
      <c r="E271" s="2">
        <v>202404</v>
      </c>
    </row>
    <row r="272" spans="1:5" x14ac:dyDescent="0.3">
      <c r="A272" s="3">
        <v>45409</v>
      </c>
      <c r="B272" s="2">
        <v>4</v>
      </c>
      <c r="C272" s="2" t="s">
        <v>30</v>
      </c>
      <c r="D272" s="2">
        <v>2024</v>
      </c>
      <c r="E272" s="2">
        <v>202404</v>
      </c>
    </row>
    <row r="273" spans="1:5" x14ac:dyDescent="0.3">
      <c r="A273" s="3">
        <v>45410</v>
      </c>
      <c r="B273" s="2">
        <v>4</v>
      </c>
      <c r="C273" s="2" t="s">
        <v>30</v>
      </c>
      <c r="D273" s="2">
        <v>2024</v>
      </c>
      <c r="E273" s="2">
        <v>202404</v>
      </c>
    </row>
    <row r="274" spans="1:5" x14ac:dyDescent="0.3">
      <c r="A274" s="3">
        <v>45411</v>
      </c>
      <c r="B274" s="2">
        <v>4</v>
      </c>
      <c r="C274" s="2" t="s">
        <v>30</v>
      </c>
      <c r="D274" s="2">
        <v>2024</v>
      </c>
      <c r="E274" s="2">
        <v>202404</v>
      </c>
    </row>
    <row r="275" spans="1:5" x14ac:dyDescent="0.3">
      <c r="A275" s="3">
        <v>45412</v>
      </c>
      <c r="B275" s="2">
        <v>4</v>
      </c>
      <c r="C275" s="2" t="s">
        <v>30</v>
      </c>
      <c r="D275" s="2">
        <v>2024</v>
      </c>
      <c r="E275" s="2">
        <v>202404</v>
      </c>
    </row>
    <row r="276" spans="1:5" x14ac:dyDescent="0.3">
      <c r="A276" s="3">
        <v>45413</v>
      </c>
      <c r="B276" s="2">
        <v>5</v>
      </c>
      <c r="C276" s="2" t="s">
        <v>179</v>
      </c>
      <c r="D276" s="2">
        <v>2024</v>
      </c>
      <c r="E276" s="2">
        <v>202405</v>
      </c>
    </row>
    <row r="277" spans="1:5" x14ac:dyDescent="0.3">
      <c r="A277" s="3">
        <v>45414</v>
      </c>
      <c r="B277" s="2">
        <v>5</v>
      </c>
      <c r="C277" s="2" t="s">
        <v>179</v>
      </c>
      <c r="D277" s="2">
        <v>2024</v>
      </c>
      <c r="E277" s="2">
        <v>202405</v>
      </c>
    </row>
    <row r="278" spans="1:5" x14ac:dyDescent="0.3">
      <c r="A278" s="3">
        <v>45415</v>
      </c>
      <c r="B278" s="2">
        <v>5</v>
      </c>
      <c r="C278" s="2" t="s">
        <v>179</v>
      </c>
      <c r="D278" s="2">
        <v>2024</v>
      </c>
      <c r="E278" s="2">
        <v>202405</v>
      </c>
    </row>
    <row r="279" spans="1:5" x14ac:dyDescent="0.3">
      <c r="A279" s="3">
        <v>45416</v>
      </c>
      <c r="B279" s="2">
        <v>5</v>
      </c>
      <c r="C279" s="2" t="s">
        <v>179</v>
      </c>
      <c r="D279" s="2">
        <v>2024</v>
      </c>
      <c r="E279" s="2">
        <v>202405</v>
      </c>
    </row>
    <row r="280" spans="1:5" x14ac:dyDescent="0.3">
      <c r="A280" s="3">
        <v>45417</v>
      </c>
      <c r="B280" s="2">
        <v>5</v>
      </c>
      <c r="C280" s="2" t="s">
        <v>179</v>
      </c>
      <c r="D280" s="2">
        <v>2024</v>
      </c>
      <c r="E280" s="2">
        <v>202405</v>
      </c>
    </row>
    <row r="281" spans="1:5" x14ac:dyDescent="0.3">
      <c r="A281" s="3">
        <v>45418</v>
      </c>
      <c r="B281" s="2">
        <v>5</v>
      </c>
      <c r="C281" s="2" t="s">
        <v>179</v>
      </c>
      <c r="D281" s="2">
        <v>2024</v>
      </c>
      <c r="E281" s="2">
        <v>202405</v>
      </c>
    </row>
    <row r="282" spans="1:5" x14ac:dyDescent="0.3">
      <c r="A282" s="3">
        <v>45419</v>
      </c>
      <c r="B282" s="2">
        <v>5</v>
      </c>
      <c r="C282" s="2" t="s">
        <v>179</v>
      </c>
      <c r="D282" s="2">
        <v>2024</v>
      </c>
      <c r="E282" s="2">
        <v>202405</v>
      </c>
    </row>
    <row r="283" spans="1:5" x14ac:dyDescent="0.3">
      <c r="A283" s="3">
        <v>45420</v>
      </c>
      <c r="B283" s="2">
        <v>5</v>
      </c>
      <c r="C283" s="2" t="s">
        <v>179</v>
      </c>
      <c r="D283" s="2">
        <v>2024</v>
      </c>
      <c r="E283" s="2">
        <v>202405</v>
      </c>
    </row>
    <row r="284" spans="1:5" x14ac:dyDescent="0.3">
      <c r="A284" s="3">
        <v>45421</v>
      </c>
      <c r="B284" s="2">
        <v>5</v>
      </c>
      <c r="C284" s="2" t="s">
        <v>179</v>
      </c>
      <c r="D284" s="2">
        <v>2024</v>
      </c>
      <c r="E284" s="2">
        <v>202405</v>
      </c>
    </row>
    <row r="285" spans="1:5" x14ac:dyDescent="0.3">
      <c r="A285" s="3">
        <v>45422</v>
      </c>
      <c r="B285" s="2">
        <v>5</v>
      </c>
      <c r="C285" s="2" t="s">
        <v>179</v>
      </c>
      <c r="D285" s="2">
        <v>2024</v>
      </c>
      <c r="E285" s="2">
        <v>202405</v>
      </c>
    </row>
    <row r="286" spans="1:5" x14ac:dyDescent="0.3">
      <c r="A286" s="3">
        <v>45423</v>
      </c>
      <c r="B286" s="2">
        <v>5</v>
      </c>
      <c r="C286" s="2" t="s">
        <v>179</v>
      </c>
      <c r="D286" s="2">
        <v>2024</v>
      </c>
      <c r="E286" s="2">
        <v>202405</v>
      </c>
    </row>
    <row r="287" spans="1:5" x14ac:dyDescent="0.3">
      <c r="A287" s="3">
        <v>45424</v>
      </c>
      <c r="B287" s="2">
        <v>5</v>
      </c>
      <c r="C287" s="2" t="s">
        <v>179</v>
      </c>
      <c r="D287" s="2">
        <v>2024</v>
      </c>
      <c r="E287" s="2">
        <v>202405</v>
      </c>
    </row>
    <row r="288" spans="1:5" x14ac:dyDescent="0.3">
      <c r="A288" s="3">
        <v>45425</v>
      </c>
      <c r="B288" s="2">
        <v>5</v>
      </c>
      <c r="C288" s="2" t="s">
        <v>179</v>
      </c>
      <c r="D288" s="2">
        <v>2024</v>
      </c>
      <c r="E288" s="2">
        <v>202405</v>
      </c>
    </row>
    <row r="289" spans="1:5" x14ac:dyDescent="0.3">
      <c r="A289" s="3">
        <v>45426</v>
      </c>
      <c r="B289" s="2">
        <v>5</v>
      </c>
      <c r="C289" s="2" t="s">
        <v>179</v>
      </c>
      <c r="D289" s="2">
        <v>2024</v>
      </c>
      <c r="E289" s="2">
        <v>202405</v>
      </c>
    </row>
    <row r="290" spans="1:5" x14ac:dyDescent="0.3">
      <c r="A290" s="3">
        <v>45427</v>
      </c>
      <c r="B290" s="2">
        <v>5</v>
      </c>
      <c r="C290" s="2" t="s">
        <v>179</v>
      </c>
      <c r="D290" s="2">
        <v>2024</v>
      </c>
      <c r="E290" s="2">
        <v>202405</v>
      </c>
    </row>
    <row r="291" spans="1:5" x14ac:dyDescent="0.3">
      <c r="A291" s="3">
        <v>45428</v>
      </c>
      <c r="B291" s="2">
        <v>5</v>
      </c>
      <c r="C291" s="2" t="s">
        <v>179</v>
      </c>
      <c r="D291" s="2">
        <v>2024</v>
      </c>
      <c r="E291" s="2">
        <v>202405</v>
      </c>
    </row>
    <row r="292" spans="1:5" x14ac:dyDescent="0.3">
      <c r="A292" s="3">
        <v>45429</v>
      </c>
      <c r="B292" s="2">
        <v>5</v>
      </c>
      <c r="C292" s="2" t="s">
        <v>179</v>
      </c>
      <c r="D292" s="2">
        <v>2024</v>
      </c>
      <c r="E292" s="2">
        <v>202405</v>
      </c>
    </row>
    <row r="293" spans="1:5" x14ac:dyDescent="0.3">
      <c r="A293" s="3">
        <v>45430</v>
      </c>
      <c r="B293" s="2">
        <v>5</v>
      </c>
      <c r="C293" s="2" t="s">
        <v>179</v>
      </c>
      <c r="D293" s="2">
        <v>2024</v>
      </c>
      <c r="E293" s="2">
        <v>202405</v>
      </c>
    </row>
    <row r="294" spans="1:5" x14ac:dyDescent="0.3">
      <c r="A294" s="3">
        <v>45431</v>
      </c>
      <c r="B294" s="2">
        <v>5</v>
      </c>
      <c r="C294" s="2" t="s">
        <v>179</v>
      </c>
      <c r="D294" s="2">
        <v>2024</v>
      </c>
      <c r="E294" s="2">
        <v>202405</v>
      </c>
    </row>
    <row r="295" spans="1:5" x14ac:dyDescent="0.3">
      <c r="A295" s="3">
        <v>45432</v>
      </c>
      <c r="B295" s="2">
        <v>5</v>
      </c>
      <c r="C295" s="2" t="s">
        <v>179</v>
      </c>
      <c r="D295" s="2">
        <v>2024</v>
      </c>
      <c r="E295" s="2">
        <v>202405</v>
      </c>
    </row>
    <row r="296" spans="1:5" x14ac:dyDescent="0.3">
      <c r="A296" s="3">
        <v>45433</v>
      </c>
      <c r="B296" s="2">
        <v>5</v>
      </c>
      <c r="C296" s="2" t="s">
        <v>179</v>
      </c>
      <c r="D296" s="2">
        <v>2024</v>
      </c>
      <c r="E296" s="2">
        <v>202405</v>
      </c>
    </row>
    <row r="297" spans="1:5" x14ac:dyDescent="0.3">
      <c r="A297" s="3">
        <v>45434</v>
      </c>
      <c r="B297" s="2">
        <v>5</v>
      </c>
      <c r="C297" s="2" t="s">
        <v>179</v>
      </c>
      <c r="D297" s="2">
        <v>2024</v>
      </c>
      <c r="E297" s="2">
        <v>202405</v>
      </c>
    </row>
    <row r="298" spans="1:5" x14ac:dyDescent="0.3">
      <c r="A298" s="3">
        <v>45435</v>
      </c>
      <c r="B298" s="2">
        <v>5</v>
      </c>
      <c r="C298" s="2" t="s">
        <v>179</v>
      </c>
      <c r="D298" s="2">
        <v>2024</v>
      </c>
      <c r="E298" s="2">
        <v>202405</v>
      </c>
    </row>
    <row r="299" spans="1:5" x14ac:dyDescent="0.3">
      <c r="A299" s="3">
        <v>45436</v>
      </c>
      <c r="B299" s="2">
        <v>5</v>
      </c>
      <c r="C299" s="2" t="s">
        <v>179</v>
      </c>
      <c r="D299" s="2">
        <v>2024</v>
      </c>
      <c r="E299" s="2">
        <v>202405</v>
      </c>
    </row>
    <row r="300" spans="1:5" x14ac:dyDescent="0.3">
      <c r="A300" s="3">
        <v>45437</v>
      </c>
      <c r="B300" s="2">
        <v>5</v>
      </c>
      <c r="C300" s="2" t="s">
        <v>179</v>
      </c>
      <c r="D300" s="2">
        <v>2024</v>
      </c>
      <c r="E300" s="2">
        <v>202405</v>
      </c>
    </row>
    <row r="301" spans="1:5" x14ac:dyDescent="0.3">
      <c r="A301" s="3">
        <v>45438</v>
      </c>
      <c r="B301" s="2">
        <v>5</v>
      </c>
      <c r="C301" s="2" t="s">
        <v>179</v>
      </c>
      <c r="D301" s="2">
        <v>2024</v>
      </c>
      <c r="E301" s="2">
        <v>202405</v>
      </c>
    </row>
    <row r="302" spans="1:5" x14ac:dyDescent="0.3">
      <c r="A302" s="3">
        <v>45439</v>
      </c>
      <c r="B302" s="2">
        <v>5</v>
      </c>
      <c r="C302" s="2" t="s">
        <v>179</v>
      </c>
      <c r="D302" s="2">
        <v>2024</v>
      </c>
      <c r="E302" s="2">
        <v>202405</v>
      </c>
    </row>
    <row r="303" spans="1:5" x14ac:dyDescent="0.3">
      <c r="A303" s="3">
        <v>45440</v>
      </c>
      <c r="B303" s="2">
        <v>5</v>
      </c>
      <c r="C303" s="2" t="s">
        <v>179</v>
      </c>
      <c r="D303" s="2">
        <v>2024</v>
      </c>
      <c r="E303" s="2">
        <v>202405</v>
      </c>
    </row>
    <row r="304" spans="1:5" x14ac:dyDescent="0.3">
      <c r="A304" s="3">
        <v>45441</v>
      </c>
      <c r="B304" s="2">
        <v>5</v>
      </c>
      <c r="C304" s="2" t="s">
        <v>179</v>
      </c>
      <c r="D304" s="2">
        <v>2024</v>
      </c>
      <c r="E304" s="2">
        <v>202405</v>
      </c>
    </row>
    <row r="305" spans="1:5" x14ac:dyDescent="0.3">
      <c r="A305" s="3">
        <v>45442</v>
      </c>
      <c r="B305" s="2">
        <v>5</v>
      </c>
      <c r="C305" s="2" t="s">
        <v>179</v>
      </c>
      <c r="D305" s="2">
        <v>2024</v>
      </c>
      <c r="E305" s="2">
        <v>202405</v>
      </c>
    </row>
    <row r="306" spans="1:5" x14ac:dyDescent="0.3">
      <c r="A306" s="3">
        <v>45443</v>
      </c>
      <c r="B306" s="2">
        <v>5</v>
      </c>
      <c r="C306" s="2" t="s">
        <v>179</v>
      </c>
      <c r="D306" s="2">
        <v>2024</v>
      </c>
      <c r="E306" s="2">
        <v>202405</v>
      </c>
    </row>
    <row r="307" spans="1:5" x14ac:dyDescent="0.3">
      <c r="A307" s="3">
        <v>45444</v>
      </c>
      <c r="B307" s="2">
        <v>6</v>
      </c>
      <c r="C307" s="2" t="s">
        <v>31</v>
      </c>
      <c r="D307" s="2">
        <v>2024</v>
      </c>
      <c r="E307" s="2">
        <v>202406</v>
      </c>
    </row>
    <row r="308" spans="1:5" x14ac:dyDescent="0.3">
      <c r="A308" s="3">
        <v>45445</v>
      </c>
      <c r="B308" s="2">
        <v>6</v>
      </c>
      <c r="C308" s="2" t="s">
        <v>31</v>
      </c>
      <c r="D308" s="2">
        <v>2024</v>
      </c>
      <c r="E308" s="2">
        <v>202406</v>
      </c>
    </row>
    <row r="309" spans="1:5" x14ac:dyDescent="0.3">
      <c r="A309" s="3">
        <v>45446</v>
      </c>
      <c r="B309" s="2">
        <v>6</v>
      </c>
      <c r="C309" s="2" t="s">
        <v>31</v>
      </c>
      <c r="D309" s="2">
        <v>2024</v>
      </c>
      <c r="E309" s="2">
        <v>202406</v>
      </c>
    </row>
    <row r="310" spans="1:5" x14ac:dyDescent="0.3">
      <c r="A310" s="3">
        <v>45447</v>
      </c>
      <c r="B310" s="2">
        <v>6</v>
      </c>
      <c r="C310" s="2" t="s">
        <v>31</v>
      </c>
      <c r="D310" s="2">
        <v>2024</v>
      </c>
      <c r="E310" s="2">
        <v>202406</v>
      </c>
    </row>
    <row r="311" spans="1:5" x14ac:dyDescent="0.3">
      <c r="A311" s="3">
        <v>45448</v>
      </c>
      <c r="B311" s="2">
        <v>6</v>
      </c>
      <c r="C311" s="2" t="s">
        <v>31</v>
      </c>
      <c r="D311" s="2">
        <v>2024</v>
      </c>
      <c r="E311" s="2">
        <v>202406</v>
      </c>
    </row>
    <row r="312" spans="1:5" x14ac:dyDescent="0.3">
      <c r="A312" s="3">
        <v>45449</v>
      </c>
      <c r="B312" s="2">
        <v>6</v>
      </c>
      <c r="C312" s="2" t="s">
        <v>31</v>
      </c>
      <c r="D312" s="2">
        <v>2024</v>
      </c>
      <c r="E312" s="2">
        <v>202406</v>
      </c>
    </row>
    <row r="313" spans="1:5" x14ac:dyDescent="0.3">
      <c r="A313" s="3">
        <v>45450</v>
      </c>
      <c r="B313" s="2">
        <v>6</v>
      </c>
      <c r="C313" s="2" t="s">
        <v>31</v>
      </c>
      <c r="D313" s="2">
        <v>2024</v>
      </c>
      <c r="E313" s="2">
        <v>202406</v>
      </c>
    </row>
    <row r="314" spans="1:5" x14ac:dyDescent="0.3">
      <c r="A314" s="3">
        <v>45451</v>
      </c>
      <c r="B314" s="2">
        <v>6</v>
      </c>
      <c r="C314" s="2" t="s">
        <v>31</v>
      </c>
      <c r="D314" s="2">
        <v>2024</v>
      </c>
      <c r="E314" s="2">
        <v>202406</v>
      </c>
    </row>
    <row r="315" spans="1:5" x14ac:dyDescent="0.3">
      <c r="A315" s="3">
        <v>45452</v>
      </c>
      <c r="B315" s="2">
        <v>6</v>
      </c>
      <c r="C315" s="2" t="s">
        <v>31</v>
      </c>
      <c r="D315" s="2">
        <v>2024</v>
      </c>
      <c r="E315" s="2">
        <v>202406</v>
      </c>
    </row>
    <row r="316" spans="1:5" x14ac:dyDescent="0.3">
      <c r="A316" s="3">
        <v>45453</v>
      </c>
      <c r="B316" s="2">
        <v>6</v>
      </c>
      <c r="C316" s="2" t="s">
        <v>31</v>
      </c>
      <c r="D316" s="2">
        <v>2024</v>
      </c>
      <c r="E316" s="2">
        <v>202406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BF07-7D96-4594-A32D-10ABBF4FEA53}">
  <sheetPr codeName="Sheet2"/>
  <dimension ref="A1:D26"/>
  <sheetViews>
    <sheetView zoomScale="115" zoomScaleNormal="115" workbookViewId="0">
      <pane ySplit="1" topLeftCell="A2" activePane="bottomLeft" state="frozen"/>
      <selection activeCell="A2" sqref="A2"/>
      <selection pane="bottomLeft" activeCell="B24" sqref="B24"/>
    </sheetView>
  </sheetViews>
  <sheetFormatPr defaultRowHeight="14.4" x14ac:dyDescent="0.3"/>
  <cols>
    <col min="1" max="2" width="26.6640625" customWidth="1"/>
    <col min="3" max="3" width="31.6640625" bestFit="1" customWidth="1"/>
    <col min="4" max="4" width="9.109375" bestFit="1" customWidth="1"/>
  </cols>
  <sheetData>
    <row r="1" spans="1:4" ht="15" x14ac:dyDescent="0.3">
      <c r="A1" s="1" t="s">
        <v>6</v>
      </c>
      <c r="B1" s="1" t="s">
        <v>7</v>
      </c>
      <c r="C1" s="1" t="s">
        <v>8</v>
      </c>
      <c r="D1" s="1" t="s">
        <v>80</v>
      </c>
    </row>
    <row r="2" spans="1:4" x14ac:dyDescent="0.3">
      <c r="A2" t="s">
        <v>13</v>
      </c>
      <c r="B2" t="s">
        <v>38</v>
      </c>
      <c r="C2" t="s">
        <v>38</v>
      </c>
      <c r="D2" t="s">
        <v>81</v>
      </c>
    </row>
    <row r="3" spans="1:4" x14ac:dyDescent="0.3">
      <c r="A3" t="s">
        <v>61</v>
      </c>
      <c r="B3" t="s">
        <v>39</v>
      </c>
      <c r="C3" t="s">
        <v>40</v>
      </c>
      <c r="D3" t="s">
        <v>81</v>
      </c>
    </row>
    <row r="4" spans="1:4" x14ac:dyDescent="0.3">
      <c r="A4" t="s">
        <v>62</v>
      </c>
      <c r="B4" t="s">
        <v>39</v>
      </c>
      <c r="C4" t="s">
        <v>47</v>
      </c>
      <c r="D4" t="s">
        <v>81</v>
      </c>
    </row>
    <row r="5" spans="1:4" x14ac:dyDescent="0.3">
      <c r="A5" t="s">
        <v>63</v>
      </c>
      <c r="B5" t="s">
        <v>39</v>
      </c>
      <c r="C5" t="s">
        <v>48</v>
      </c>
      <c r="D5" t="s">
        <v>81</v>
      </c>
    </row>
    <row r="6" spans="1:4" x14ac:dyDescent="0.3">
      <c r="A6" t="s">
        <v>64</v>
      </c>
      <c r="B6" t="s">
        <v>39</v>
      </c>
      <c r="C6" t="s">
        <v>46</v>
      </c>
      <c r="D6" t="s">
        <v>81</v>
      </c>
    </row>
    <row r="7" spans="1:4" x14ac:dyDescent="0.3">
      <c r="A7" t="s">
        <v>65</v>
      </c>
      <c r="B7" t="s">
        <v>39</v>
      </c>
      <c r="C7" t="s">
        <v>41</v>
      </c>
      <c r="D7" t="s">
        <v>81</v>
      </c>
    </row>
    <row r="8" spans="1:4" x14ac:dyDescent="0.3">
      <c r="A8" t="s">
        <v>66</v>
      </c>
      <c r="B8" t="s">
        <v>39</v>
      </c>
      <c r="C8" t="s">
        <v>49</v>
      </c>
      <c r="D8" t="s">
        <v>81</v>
      </c>
    </row>
    <row r="9" spans="1:4" x14ac:dyDescent="0.3">
      <c r="A9" t="s">
        <v>67</v>
      </c>
      <c r="B9" t="s">
        <v>39</v>
      </c>
      <c r="C9" t="s">
        <v>50</v>
      </c>
      <c r="D9" t="s">
        <v>81</v>
      </c>
    </row>
    <row r="10" spans="1:4" x14ac:dyDescent="0.3">
      <c r="A10" t="s">
        <v>68</v>
      </c>
      <c r="B10" t="s">
        <v>42</v>
      </c>
      <c r="C10" t="s">
        <v>43</v>
      </c>
      <c r="D10" t="s">
        <v>81</v>
      </c>
    </row>
    <row r="11" spans="1:4" x14ac:dyDescent="0.3">
      <c r="A11" t="s">
        <v>69</v>
      </c>
      <c r="B11" t="s">
        <v>42</v>
      </c>
      <c r="C11" t="s">
        <v>51</v>
      </c>
      <c r="D11" t="s">
        <v>81</v>
      </c>
    </row>
    <row r="12" spans="1:4" x14ac:dyDescent="0.3">
      <c r="A12" t="s">
        <v>70</v>
      </c>
      <c r="B12" t="s">
        <v>42</v>
      </c>
      <c r="C12" t="s">
        <v>52</v>
      </c>
      <c r="D12" t="s">
        <v>81</v>
      </c>
    </row>
    <row r="13" spans="1:4" x14ac:dyDescent="0.3">
      <c r="A13" t="s">
        <v>71</v>
      </c>
      <c r="B13" t="s">
        <v>42</v>
      </c>
      <c r="C13" t="s">
        <v>53</v>
      </c>
      <c r="D13" t="s">
        <v>81</v>
      </c>
    </row>
    <row r="14" spans="1:4" x14ac:dyDescent="0.3">
      <c r="A14" t="s">
        <v>72</v>
      </c>
      <c r="B14" t="s">
        <v>42</v>
      </c>
      <c r="C14" t="s">
        <v>54</v>
      </c>
      <c r="D14" t="s">
        <v>81</v>
      </c>
    </row>
    <row r="15" spans="1:4" x14ac:dyDescent="0.3">
      <c r="A15" t="s">
        <v>73</v>
      </c>
      <c r="B15" t="s">
        <v>42</v>
      </c>
      <c r="C15" t="s">
        <v>55</v>
      </c>
      <c r="D15" t="s">
        <v>81</v>
      </c>
    </row>
    <row r="16" spans="1:4" x14ac:dyDescent="0.3">
      <c r="A16" t="s">
        <v>74</v>
      </c>
      <c r="B16" t="s">
        <v>44</v>
      </c>
      <c r="C16" t="s">
        <v>45</v>
      </c>
      <c r="D16" t="s">
        <v>81</v>
      </c>
    </row>
    <row r="17" spans="1:4" x14ac:dyDescent="0.3">
      <c r="A17" t="s">
        <v>75</v>
      </c>
      <c r="B17" t="s">
        <v>44</v>
      </c>
      <c r="C17" t="s">
        <v>56</v>
      </c>
      <c r="D17" t="s">
        <v>81</v>
      </c>
    </row>
    <row r="18" spans="1:4" x14ac:dyDescent="0.3">
      <c r="A18" t="s">
        <v>76</v>
      </c>
      <c r="B18" t="s">
        <v>44</v>
      </c>
      <c r="C18" t="s">
        <v>57</v>
      </c>
      <c r="D18" t="s">
        <v>81</v>
      </c>
    </row>
    <row r="19" spans="1:4" x14ac:dyDescent="0.3">
      <c r="A19" t="s">
        <v>77</v>
      </c>
      <c r="B19" t="s">
        <v>44</v>
      </c>
      <c r="C19" t="s">
        <v>58</v>
      </c>
      <c r="D19" t="s">
        <v>81</v>
      </c>
    </row>
    <row r="20" spans="1:4" x14ac:dyDescent="0.3">
      <c r="A20" t="s">
        <v>78</v>
      </c>
      <c r="B20" t="s">
        <v>44</v>
      </c>
      <c r="C20" t="s">
        <v>59</v>
      </c>
      <c r="D20" t="s">
        <v>81</v>
      </c>
    </row>
    <row r="21" spans="1:4" x14ac:dyDescent="0.3">
      <c r="A21" t="s">
        <v>79</v>
      </c>
      <c r="B21" t="s">
        <v>44</v>
      </c>
      <c r="C21" t="s">
        <v>60</v>
      </c>
      <c r="D21" t="s">
        <v>81</v>
      </c>
    </row>
    <row r="22" spans="1:4" x14ac:dyDescent="0.3">
      <c r="A22" t="s">
        <v>89</v>
      </c>
      <c r="B22" t="s">
        <v>82</v>
      </c>
      <c r="C22" t="s">
        <v>83</v>
      </c>
      <c r="D22" t="s">
        <v>94</v>
      </c>
    </row>
    <row r="23" spans="1:4" x14ac:dyDescent="0.3">
      <c r="A23" t="s">
        <v>90</v>
      </c>
      <c r="B23" t="s">
        <v>82</v>
      </c>
      <c r="C23" t="s">
        <v>84</v>
      </c>
      <c r="D23" t="s">
        <v>94</v>
      </c>
    </row>
    <row r="24" spans="1:4" x14ac:dyDescent="0.3">
      <c r="A24" t="s">
        <v>91</v>
      </c>
      <c r="B24" t="s">
        <v>85</v>
      </c>
      <c r="C24" t="s">
        <v>86</v>
      </c>
      <c r="D24" t="s">
        <v>94</v>
      </c>
    </row>
    <row r="25" spans="1:4" x14ac:dyDescent="0.3">
      <c r="A25" t="s">
        <v>92</v>
      </c>
      <c r="B25" t="s">
        <v>85</v>
      </c>
      <c r="C25" t="s">
        <v>87</v>
      </c>
      <c r="D25" t="s">
        <v>94</v>
      </c>
    </row>
    <row r="26" spans="1:4" x14ac:dyDescent="0.3">
      <c r="A26" t="s">
        <v>93</v>
      </c>
      <c r="B26" t="s">
        <v>88</v>
      </c>
      <c r="C26" t="s">
        <v>88</v>
      </c>
      <c r="D26" t="s">
        <v>94</v>
      </c>
    </row>
  </sheetData>
  <phoneticPr fontId="5"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B760-1910-497C-A354-4036E22938CD}">
  <sheetPr codeName="Sheet3"/>
  <dimension ref="A1:H81"/>
  <sheetViews>
    <sheetView workbookViewId="0">
      <pane ySplit="1" topLeftCell="A2" activePane="bottomLeft" state="frozen"/>
      <selection activeCell="A2" sqref="A2"/>
      <selection pane="bottomLeft" activeCell="C33" sqref="C33"/>
    </sheetView>
  </sheetViews>
  <sheetFormatPr defaultRowHeight="15.6" x14ac:dyDescent="0.3"/>
  <cols>
    <col min="1" max="1" width="22.33203125" style="2" bestFit="1" customWidth="1"/>
    <col min="2" max="2" width="10.109375" style="2" bestFit="1" customWidth="1"/>
    <col min="3" max="3" width="13.109375" style="2" bestFit="1" customWidth="1"/>
    <col min="4" max="4" width="22.44140625" style="2" bestFit="1" customWidth="1"/>
    <col min="5" max="5" width="12.44140625" style="2" bestFit="1" customWidth="1"/>
    <col min="6" max="6" width="9.5546875" style="2" bestFit="1" customWidth="1"/>
    <col min="7" max="7" width="19.21875" style="2" bestFit="1" customWidth="1"/>
    <col min="8" max="8" width="23" style="2" bestFit="1" customWidth="1"/>
    <col min="9" max="16384" width="8.88671875" style="2"/>
  </cols>
  <sheetData>
    <row r="1" spans="1:8" x14ac:dyDescent="0.3">
      <c r="A1" s="1" t="s">
        <v>6</v>
      </c>
      <c r="B1" s="1" t="s">
        <v>0</v>
      </c>
      <c r="C1" s="1" t="s">
        <v>7</v>
      </c>
      <c r="D1" s="1" t="s">
        <v>9</v>
      </c>
      <c r="E1" s="1" t="s">
        <v>10</v>
      </c>
      <c r="F1" s="1" t="s">
        <v>11</v>
      </c>
      <c r="G1" s="1" t="s">
        <v>33</v>
      </c>
      <c r="H1" s="1" t="s">
        <v>34</v>
      </c>
    </row>
    <row r="2" spans="1:8" x14ac:dyDescent="0.3">
      <c r="A2" s="2" t="s">
        <v>18</v>
      </c>
      <c r="B2" s="3">
        <v>44322</v>
      </c>
      <c r="C2" s="2" t="s">
        <v>174</v>
      </c>
      <c r="D2" s="2" t="s">
        <v>69</v>
      </c>
      <c r="E2" s="2">
        <v>43</v>
      </c>
      <c r="F2" s="2" t="s">
        <v>12</v>
      </c>
      <c r="G2" s="2" t="str">
        <f>VLOOKUP(Table1[[#This Row],[Rev/Exp ID]],'Rev-Exp Source'!A:C,3,0)</f>
        <v>Təsərrüfat xərci</v>
      </c>
      <c r="H2" s="2" t="str">
        <f>VLOOKUP(Table1[[#This Row],[Rev/Exp ID]],'Rev-Exp Source'!A:B,2,0)</f>
        <v>Digər xərclər</v>
      </c>
    </row>
    <row r="3" spans="1:8" x14ac:dyDescent="0.3">
      <c r="A3" s="2" t="s">
        <v>95</v>
      </c>
      <c r="B3" s="3">
        <v>44080</v>
      </c>
      <c r="C3" s="2" t="s">
        <v>174</v>
      </c>
      <c r="D3" s="2" t="s">
        <v>67</v>
      </c>
      <c r="E3" s="2">
        <v>1</v>
      </c>
      <c r="F3" s="2" t="s">
        <v>12</v>
      </c>
      <c r="G3" s="2" t="str">
        <f>VLOOKUP(Table1[[#This Row],[Rev/Exp ID]],'Rev-Exp Source'!A:C,3,0)</f>
        <v>Xidmət haqqları</v>
      </c>
      <c r="H3" s="2" t="str">
        <f>VLOOKUP(Table1[[#This Row],[Rev/Exp ID]],'Rev-Exp Source'!A:B,2,0)</f>
        <v>Kommunal</v>
      </c>
    </row>
    <row r="4" spans="1:8" x14ac:dyDescent="0.3">
      <c r="A4" s="2" t="s">
        <v>96</v>
      </c>
      <c r="B4" s="3">
        <v>44423</v>
      </c>
      <c r="C4" s="2" t="s">
        <v>174</v>
      </c>
      <c r="D4" s="2" t="s">
        <v>68</v>
      </c>
      <c r="E4" s="2">
        <v>9</v>
      </c>
      <c r="F4" s="2" t="s">
        <v>12</v>
      </c>
      <c r="G4" s="2" t="str">
        <f>VLOOKUP(Table1[[#This Row],[Rev/Exp ID]],'Rev-Exp Source'!A:C,3,0)</f>
        <v>Saxlanma xərcləri</v>
      </c>
      <c r="H4" s="2" t="str">
        <f>VLOOKUP(Table1[[#This Row],[Rev/Exp ID]],'Rev-Exp Source'!A:B,2,0)</f>
        <v>Digər xərclər</v>
      </c>
    </row>
    <row r="5" spans="1:8" x14ac:dyDescent="0.3">
      <c r="A5" s="2" t="s">
        <v>97</v>
      </c>
      <c r="B5" s="3">
        <v>44958</v>
      </c>
      <c r="C5" s="2" t="s">
        <v>173</v>
      </c>
      <c r="D5" s="2" t="s">
        <v>89</v>
      </c>
      <c r="E5" s="2">
        <v>7</v>
      </c>
      <c r="F5" s="2" t="s">
        <v>12</v>
      </c>
      <c r="G5" s="2" t="str">
        <f>VLOOKUP(Table1[[#This Row],[Rev/Exp ID]],'Rev-Exp Source'!A:C,3,0)</f>
        <v>Qida</v>
      </c>
      <c r="H5" s="2" t="str">
        <f>VLOOKUP(Table1[[#This Row],[Rev/Exp ID]],'Rev-Exp Source'!A:B,2,0)</f>
        <v>Satış</v>
      </c>
    </row>
    <row r="6" spans="1:8" x14ac:dyDescent="0.3">
      <c r="A6" s="2" t="s">
        <v>98</v>
      </c>
      <c r="B6" s="3">
        <v>44129</v>
      </c>
      <c r="C6" s="2" t="s">
        <v>174</v>
      </c>
      <c r="D6" s="2" t="s">
        <v>72</v>
      </c>
      <c r="E6" s="2">
        <v>19</v>
      </c>
      <c r="F6" s="2" t="s">
        <v>12</v>
      </c>
      <c r="G6" s="2" t="str">
        <f>VLOOKUP(Table1[[#This Row],[Rev/Exp ID]],'Rev-Exp Source'!A:C,3,0)</f>
        <v>Ezamiyyət xərcləri</v>
      </c>
      <c r="H6" s="2" t="str">
        <f>VLOOKUP(Table1[[#This Row],[Rev/Exp ID]],'Rev-Exp Source'!A:B,2,0)</f>
        <v>Digər xərclər</v>
      </c>
    </row>
    <row r="7" spans="1:8" x14ac:dyDescent="0.3">
      <c r="A7" s="2" t="s">
        <v>99</v>
      </c>
      <c r="B7" s="3">
        <v>45124</v>
      </c>
      <c r="C7" s="2" t="s">
        <v>174</v>
      </c>
      <c r="D7" s="2" t="s">
        <v>63</v>
      </c>
      <c r="E7" s="2">
        <v>24</v>
      </c>
      <c r="F7" s="2" t="s">
        <v>12</v>
      </c>
      <c r="G7" s="2" t="str">
        <f>VLOOKUP(Table1[[#This Row],[Rev/Exp ID]],'Rev-Exp Source'!A:C,3,0)</f>
        <v>Qaz pulu</v>
      </c>
      <c r="H7" s="2" t="str">
        <f>VLOOKUP(Table1[[#This Row],[Rev/Exp ID]],'Rev-Exp Source'!A:B,2,0)</f>
        <v>Kommunal</v>
      </c>
    </row>
    <row r="8" spans="1:8" x14ac:dyDescent="0.3">
      <c r="A8" s="2" t="s">
        <v>100</v>
      </c>
      <c r="B8" s="3">
        <v>44773</v>
      </c>
      <c r="C8" s="2" t="s">
        <v>174</v>
      </c>
      <c r="D8" s="2" t="s">
        <v>61</v>
      </c>
      <c r="E8" s="2">
        <v>21</v>
      </c>
      <c r="F8" s="2" t="s">
        <v>12</v>
      </c>
      <c r="G8" s="2" t="str">
        <f>VLOOKUP(Table1[[#This Row],[Rev/Exp ID]],'Rev-Exp Source'!A:C,3,0)</f>
        <v>İşıq pulu</v>
      </c>
      <c r="H8" s="2" t="str">
        <f>VLOOKUP(Table1[[#This Row],[Rev/Exp ID]],'Rev-Exp Source'!A:B,2,0)</f>
        <v>Kommunal</v>
      </c>
    </row>
    <row r="9" spans="1:8" x14ac:dyDescent="0.3">
      <c r="A9" s="2" t="s">
        <v>101</v>
      </c>
      <c r="B9" s="3">
        <v>44114</v>
      </c>
      <c r="C9" s="2" t="s">
        <v>174</v>
      </c>
      <c r="D9" s="2" t="s">
        <v>62</v>
      </c>
      <c r="E9" s="2">
        <v>4</v>
      </c>
      <c r="F9" s="2" t="s">
        <v>12</v>
      </c>
      <c r="G9" s="2" t="str">
        <f>VLOOKUP(Table1[[#This Row],[Rev/Exp ID]],'Rev-Exp Source'!A:C,3,0)</f>
        <v>Su pulu</v>
      </c>
      <c r="H9" s="2" t="str">
        <f>VLOOKUP(Table1[[#This Row],[Rev/Exp ID]],'Rev-Exp Source'!A:B,2,0)</f>
        <v>Kommunal</v>
      </c>
    </row>
    <row r="10" spans="1:8" x14ac:dyDescent="0.3">
      <c r="A10" s="2" t="s">
        <v>102</v>
      </c>
      <c r="B10" s="3">
        <v>45261</v>
      </c>
      <c r="C10" s="2" t="s">
        <v>173</v>
      </c>
      <c r="D10" s="2" t="s">
        <v>93</v>
      </c>
      <c r="E10" s="2">
        <v>162</v>
      </c>
      <c r="F10" s="2" t="s">
        <v>12</v>
      </c>
      <c r="G10" s="2" t="str">
        <f>VLOOKUP(Table1[[#This Row],[Rev/Exp ID]],'Rev-Exp Source'!A:C,3,0)</f>
        <v>Xidmət</v>
      </c>
      <c r="H10" s="2" t="str">
        <f>VLOOKUP(Table1[[#This Row],[Rev/Exp ID]],'Rev-Exp Source'!A:B,2,0)</f>
        <v>Xidmət</v>
      </c>
    </row>
    <row r="11" spans="1:8" x14ac:dyDescent="0.3">
      <c r="A11" s="2" t="s">
        <v>103</v>
      </c>
      <c r="B11" s="3">
        <v>43946</v>
      </c>
      <c r="C11" s="2" t="s">
        <v>174</v>
      </c>
      <c r="D11" s="2" t="s">
        <v>69</v>
      </c>
      <c r="E11" s="2">
        <v>28</v>
      </c>
      <c r="F11" s="2" t="s">
        <v>12</v>
      </c>
      <c r="G11" s="2" t="str">
        <f>VLOOKUP(Table1[[#This Row],[Rev/Exp ID]],'Rev-Exp Source'!A:C,3,0)</f>
        <v>Təsərrüfat xərci</v>
      </c>
      <c r="H11" s="2" t="str">
        <f>VLOOKUP(Table1[[#This Row],[Rev/Exp ID]],'Rev-Exp Source'!A:B,2,0)</f>
        <v>Digər xərclər</v>
      </c>
    </row>
    <row r="12" spans="1:8" x14ac:dyDescent="0.3">
      <c r="A12" s="2" t="s">
        <v>104</v>
      </c>
      <c r="B12" s="3">
        <v>44595</v>
      </c>
      <c r="C12" s="2" t="s">
        <v>174</v>
      </c>
      <c r="D12" s="2" t="s">
        <v>68</v>
      </c>
      <c r="E12" s="2">
        <v>21</v>
      </c>
      <c r="F12" s="2" t="s">
        <v>12</v>
      </c>
      <c r="G12" s="2" t="str">
        <f>VLOOKUP(Table1[[#This Row],[Rev/Exp ID]],'Rev-Exp Source'!A:C,3,0)</f>
        <v>Saxlanma xərcləri</v>
      </c>
      <c r="H12" s="2" t="str">
        <f>VLOOKUP(Table1[[#This Row],[Rev/Exp ID]],'Rev-Exp Source'!A:B,2,0)</f>
        <v>Digər xərclər</v>
      </c>
    </row>
    <row r="13" spans="1:8" x14ac:dyDescent="0.3">
      <c r="A13" s="2" t="s">
        <v>105</v>
      </c>
      <c r="B13" s="3">
        <v>44474</v>
      </c>
      <c r="C13" s="2" t="s">
        <v>173</v>
      </c>
      <c r="D13" s="2" t="s">
        <v>89</v>
      </c>
      <c r="E13" s="2">
        <v>378</v>
      </c>
      <c r="F13" s="2" t="s">
        <v>12</v>
      </c>
      <c r="G13" s="2" t="str">
        <f>VLOOKUP(Table1[[#This Row],[Rev/Exp ID]],'Rev-Exp Source'!A:C,3,0)</f>
        <v>Qida</v>
      </c>
      <c r="H13" s="2" t="str">
        <f>VLOOKUP(Table1[[#This Row],[Rev/Exp ID]],'Rev-Exp Source'!A:B,2,0)</f>
        <v>Satış</v>
      </c>
    </row>
    <row r="14" spans="1:8" x14ac:dyDescent="0.3">
      <c r="A14" s="2" t="s">
        <v>106</v>
      </c>
      <c r="B14" s="3">
        <v>44388</v>
      </c>
      <c r="C14" s="2" t="s">
        <v>174</v>
      </c>
      <c r="D14" s="2" t="s">
        <v>64</v>
      </c>
      <c r="E14" s="2">
        <v>25</v>
      </c>
      <c r="F14" s="2" t="s">
        <v>12</v>
      </c>
      <c r="G14" s="2" t="str">
        <f>VLOOKUP(Table1[[#This Row],[Rev/Exp ID]],'Rev-Exp Source'!A:C,3,0)</f>
        <v>Bələdiyyə</v>
      </c>
      <c r="H14" s="2" t="str">
        <f>VLOOKUP(Table1[[#This Row],[Rev/Exp ID]],'Rev-Exp Source'!A:B,2,0)</f>
        <v>Kommunal</v>
      </c>
    </row>
    <row r="15" spans="1:8" x14ac:dyDescent="0.3">
      <c r="A15" s="2" t="s">
        <v>107</v>
      </c>
      <c r="B15" s="3">
        <v>44536</v>
      </c>
      <c r="C15" s="2" t="s">
        <v>174</v>
      </c>
      <c r="D15" s="2" t="s">
        <v>66</v>
      </c>
      <c r="E15" s="2">
        <v>10</v>
      </c>
      <c r="F15" s="2" t="s">
        <v>12</v>
      </c>
      <c r="G15" s="2" t="str">
        <f>VLOOKUP(Table1[[#This Row],[Rev/Exp ID]],'Rev-Exp Source'!A:C,3,0)</f>
        <v>Telefon / rabitə</v>
      </c>
      <c r="H15" s="2" t="str">
        <f>VLOOKUP(Table1[[#This Row],[Rev/Exp ID]],'Rev-Exp Source'!A:B,2,0)</f>
        <v>Kommunal</v>
      </c>
    </row>
    <row r="16" spans="1:8" x14ac:dyDescent="0.3">
      <c r="A16" s="2" t="s">
        <v>108</v>
      </c>
      <c r="B16" s="3">
        <v>45270</v>
      </c>
      <c r="C16" s="2" t="s">
        <v>174</v>
      </c>
      <c r="D16" s="2" t="s">
        <v>65</v>
      </c>
      <c r="E16" s="2">
        <v>5</v>
      </c>
      <c r="F16" s="2" t="s">
        <v>12</v>
      </c>
      <c r="G16" s="2" t="str">
        <f>VLOOKUP(Table1[[#This Row],[Rev/Exp ID]],'Rev-Exp Source'!A:C,3,0)</f>
        <v>İnternet</v>
      </c>
      <c r="H16" s="2" t="str">
        <f>VLOOKUP(Table1[[#This Row],[Rev/Exp ID]],'Rev-Exp Source'!A:B,2,0)</f>
        <v>Kommunal</v>
      </c>
    </row>
    <row r="17" spans="1:8" x14ac:dyDescent="0.3">
      <c r="A17" s="2" t="s">
        <v>109</v>
      </c>
      <c r="B17" s="3">
        <v>44285</v>
      </c>
      <c r="C17" s="2" t="s">
        <v>174</v>
      </c>
      <c r="D17" s="2" t="s">
        <v>71</v>
      </c>
      <c r="E17" s="2">
        <v>36</v>
      </c>
      <c r="F17" s="2" t="s">
        <v>12</v>
      </c>
      <c r="G17" s="2" t="str">
        <f>VLOOKUP(Table1[[#This Row],[Rev/Exp ID]],'Rev-Exp Source'!A:C,3,0)</f>
        <v>Sair ödəmələr</v>
      </c>
      <c r="H17" s="2" t="str">
        <f>VLOOKUP(Table1[[#This Row],[Rev/Exp ID]],'Rev-Exp Source'!A:B,2,0)</f>
        <v>Digər xərclər</v>
      </c>
    </row>
    <row r="18" spans="1:8" x14ac:dyDescent="0.3">
      <c r="A18" s="2" t="s">
        <v>110</v>
      </c>
      <c r="B18" s="3">
        <v>43909</v>
      </c>
      <c r="C18" s="2" t="s">
        <v>174</v>
      </c>
      <c r="D18" s="2" t="s">
        <v>70</v>
      </c>
      <c r="E18" s="2">
        <v>19</v>
      </c>
      <c r="F18" s="2" t="s">
        <v>12</v>
      </c>
      <c r="G18" s="2" t="str">
        <f>VLOOKUP(Table1[[#This Row],[Rev/Exp ID]],'Rev-Exp Source'!A:C,3,0)</f>
        <v>Dəftərxana xərcləri</v>
      </c>
      <c r="H18" s="2" t="str">
        <f>VLOOKUP(Table1[[#This Row],[Rev/Exp ID]],'Rev-Exp Source'!A:B,2,0)</f>
        <v>Digər xərclər</v>
      </c>
    </row>
    <row r="19" spans="1:8" x14ac:dyDescent="0.3">
      <c r="A19" s="2" t="s">
        <v>111</v>
      </c>
      <c r="B19" s="3">
        <v>44910</v>
      </c>
      <c r="C19" s="2" t="s">
        <v>173</v>
      </c>
      <c r="D19" s="2" t="s">
        <v>90</v>
      </c>
      <c r="E19" s="2">
        <v>136</v>
      </c>
      <c r="F19" s="2" t="s">
        <v>12</v>
      </c>
      <c r="G19" s="2" t="str">
        <f>VLOOKUP(Table1[[#This Row],[Rev/Exp ID]],'Rev-Exp Source'!A:C,3,0)</f>
        <v>Qeyri-qida</v>
      </c>
      <c r="H19" s="2" t="str">
        <f>VLOOKUP(Table1[[#This Row],[Rev/Exp ID]],'Rev-Exp Source'!A:B,2,0)</f>
        <v>Satış</v>
      </c>
    </row>
    <row r="20" spans="1:8" x14ac:dyDescent="0.3">
      <c r="A20" s="2" t="s">
        <v>112</v>
      </c>
      <c r="B20" s="3">
        <v>45023</v>
      </c>
      <c r="C20" s="2" t="s">
        <v>173</v>
      </c>
      <c r="D20" s="2" t="s">
        <v>92</v>
      </c>
      <c r="E20" s="2">
        <v>336</v>
      </c>
      <c r="F20" s="2" t="s">
        <v>12</v>
      </c>
      <c r="G20" s="2" t="str">
        <f>VLOOKUP(Table1[[#This Row],[Rev/Exp ID]],'Rev-Exp Source'!A:C,3,0)</f>
        <v>Wolt</v>
      </c>
      <c r="H20" s="2" t="str">
        <f>VLOOKUP(Table1[[#This Row],[Rev/Exp ID]],'Rev-Exp Source'!A:B,2,0)</f>
        <v>Daşınma</v>
      </c>
    </row>
    <row r="21" spans="1:8" x14ac:dyDescent="0.3">
      <c r="A21" s="2" t="s">
        <v>113</v>
      </c>
      <c r="B21" s="3">
        <v>43930</v>
      </c>
      <c r="C21" s="2" t="s">
        <v>174</v>
      </c>
      <c r="D21" s="2" t="s">
        <v>63</v>
      </c>
      <c r="E21" s="2">
        <v>22</v>
      </c>
      <c r="F21" s="2" t="s">
        <v>12</v>
      </c>
      <c r="G21" s="2" t="str">
        <f>VLOOKUP(Table1[[#This Row],[Rev/Exp ID]],'Rev-Exp Source'!A:C,3,0)</f>
        <v>Qaz pulu</v>
      </c>
      <c r="H21" s="2" t="str">
        <f>VLOOKUP(Table1[[#This Row],[Rev/Exp ID]],'Rev-Exp Source'!A:B,2,0)</f>
        <v>Kommunal</v>
      </c>
    </row>
    <row r="22" spans="1:8" x14ac:dyDescent="0.3">
      <c r="A22" s="2" t="s">
        <v>114</v>
      </c>
      <c r="B22" s="3">
        <v>44818</v>
      </c>
      <c r="C22" s="2" t="s">
        <v>174</v>
      </c>
      <c r="D22" s="2" t="s">
        <v>76</v>
      </c>
      <c r="E22" s="2">
        <v>37</v>
      </c>
      <c r="F22" s="2" t="s">
        <v>12</v>
      </c>
      <c r="G22" s="2" t="str">
        <f>VLOOKUP(Table1[[#This Row],[Rev/Exp ID]],'Rev-Exp Source'!A:C,3,0)</f>
        <v>ƏDV</v>
      </c>
      <c r="H22" s="2" t="str">
        <f>VLOOKUP(Table1[[#This Row],[Rev/Exp ID]],'Rev-Exp Source'!A:B,2,0)</f>
        <v>Büdcə xərcləri</v>
      </c>
    </row>
    <row r="23" spans="1:8" x14ac:dyDescent="0.3">
      <c r="A23" s="2" t="s">
        <v>115</v>
      </c>
      <c r="B23" s="3">
        <v>44298</v>
      </c>
      <c r="C23" s="2" t="s">
        <v>174</v>
      </c>
      <c r="D23" s="2" t="s">
        <v>68</v>
      </c>
      <c r="E23" s="2">
        <v>45</v>
      </c>
      <c r="F23" s="2" t="s">
        <v>12</v>
      </c>
      <c r="G23" s="2" t="str">
        <f>VLOOKUP(Table1[[#This Row],[Rev/Exp ID]],'Rev-Exp Source'!A:C,3,0)</f>
        <v>Saxlanma xərcləri</v>
      </c>
      <c r="H23" s="2" t="str">
        <f>VLOOKUP(Table1[[#This Row],[Rev/Exp ID]],'Rev-Exp Source'!A:B,2,0)</f>
        <v>Digər xərclər</v>
      </c>
    </row>
    <row r="24" spans="1:8" x14ac:dyDescent="0.3">
      <c r="A24" s="2" t="s">
        <v>116</v>
      </c>
      <c r="B24" s="3">
        <v>44937</v>
      </c>
      <c r="C24" s="2" t="s">
        <v>173</v>
      </c>
      <c r="D24" s="2" t="s">
        <v>93</v>
      </c>
      <c r="E24" s="2">
        <v>306</v>
      </c>
      <c r="F24" s="2" t="s">
        <v>12</v>
      </c>
      <c r="G24" s="2" t="str">
        <f>VLOOKUP(Table1[[#This Row],[Rev/Exp ID]],'Rev-Exp Source'!A:C,3,0)</f>
        <v>Xidmət</v>
      </c>
      <c r="H24" s="2" t="str">
        <f>VLOOKUP(Table1[[#This Row],[Rev/Exp ID]],'Rev-Exp Source'!A:B,2,0)</f>
        <v>Xidmət</v>
      </c>
    </row>
    <row r="25" spans="1:8" x14ac:dyDescent="0.3">
      <c r="A25" s="2" t="s">
        <v>117</v>
      </c>
      <c r="B25" s="3">
        <v>44762</v>
      </c>
      <c r="C25" s="2" t="s">
        <v>174</v>
      </c>
      <c r="D25" s="2" t="s">
        <v>64</v>
      </c>
      <c r="E25" s="2">
        <v>39</v>
      </c>
      <c r="F25" s="2" t="s">
        <v>12</v>
      </c>
      <c r="G25" s="2" t="str">
        <f>VLOOKUP(Table1[[#This Row],[Rev/Exp ID]],'Rev-Exp Source'!A:C,3,0)</f>
        <v>Bələdiyyə</v>
      </c>
      <c r="H25" s="2" t="str">
        <f>VLOOKUP(Table1[[#This Row],[Rev/Exp ID]],'Rev-Exp Source'!A:B,2,0)</f>
        <v>Kommunal</v>
      </c>
    </row>
    <row r="26" spans="1:8" x14ac:dyDescent="0.3">
      <c r="A26" s="2" t="s">
        <v>118</v>
      </c>
      <c r="B26" s="3">
        <v>44078</v>
      </c>
      <c r="C26" s="2" t="s">
        <v>174</v>
      </c>
      <c r="D26" s="2" t="s">
        <v>76</v>
      </c>
      <c r="E26" s="2">
        <v>9</v>
      </c>
      <c r="F26" s="2" t="s">
        <v>12</v>
      </c>
      <c r="G26" s="2" t="str">
        <f>VLOOKUP(Table1[[#This Row],[Rev/Exp ID]],'Rev-Exp Source'!A:C,3,0)</f>
        <v>ƏDV</v>
      </c>
      <c r="H26" s="2" t="str">
        <f>VLOOKUP(Table1[[#This Row],[Rev/Exp ID]],'Rev-Exp Source'!A:B,2,0)</f>
        <v>Büdcə xərcləri</v>
      </c>
    </row>
    <row r="27" spans="1:8" x14ac:dyDescent="0.3">
      <c r="A27" s="2" t="s">
        <v>119</v>
      </c>
      <c r="B27" s="3">
        <v>44262</v>
      </c>
      <c r="C27" s="2" t="s">
        <v>174</v>
      </c>
      <c r="D27" s="2" t="s">
        <v>65</v>
      </c>
      <c r="E27" s="2">
        <v>7</v>
      </c>
      <c r="F27" s="2" t="s">
        <v>12</v>
      </c>
      <c r="G27" s="2" t="str">
        <f>VLOOKUP(Table1[[#This Row],[Rev/Exp ID]],'Rev-Exp Source'!A:C,3,0)</f>
        <v>İnternet</v>
      </c>
      <c r="H27" s="2" t="str">
        <f>VLOOKUP(Table1[[#This Row],[Rev/Exp ID]],'Rev-Exp Source'!A:B,2,0)</f>
        <v>Kommunal</v>
      </c>
    </row>
    <row r="28" spans="1:8" x14ac:dyDescent="0.3">
      <c r="A28" s="2" t="s">
        <v>120</v>
      </c>
      <c r="B28" s="3">
        <v>45213</v>
      </c>
      <c r="C28" s="2" t="s">
        <v>174</v>
      </c>
      <c r="D28" s="2" t="s">
        <v>64</v>
      </c>
      <c r="E28" s="2">
        <v>44</v>
      </c>
      <c r="F28" s="2" t="s">
        <v>12</v>
      </c>
      <c r="G28" s="2" t="str">
        <f>VLOOKUP(Table1[[#This Row],[Rev/Exp ID]],'Rev-Exp Source'!A:C,3,0)</f>
        <v>Bələdiyyə</v>
      </c>
      <c r="H28" s="2" t="str">
        <f>VLOOKUP(Table1[[#This Row],[Rev/Exp ID]],'Rev-Exp Source'!A:B,2,0)</f>
        <v>Kommunal</v>
      </c>
    </row>
    <row r="29" spans="1:8" x14ac:dyDescent="0.3">
      <c r="A29" s="2" t="s">
        <v>121</v>
      </c>
      <c r="B29" s="3">
        <v>44435</v>
      </c>
      <c r="C29" s="2" t="s">
        <v>173</v>
      </c>
      <c r="D29" s="2" t="s">
        <v>93</v>
      </c>
      <c r="E29" s="2">
        <v>437</v>
      </c>
      <c r="F29" s="2" t="s">
        <v>12</v>
      </c>
      <c r="G29" s="2" t="str">
        <f>VLOOKUP(Table1[[#This Row],[Rev/Exp ID]],'Rev-Exp Source'!A:C,3,0)</f>
        <v>Xidmət</v>
      </c>
      <c r="H29" s="2" t="str">
        <f>VLOOKUP(Table1[[#This Row],[Rev/Exp ID]],'Rev-Exp Source'!A:B,2,0)</f>
        <v>Xidmət</v>
      </c>
    </row>
    <row r="30" spans="1:8" x14ac:dyDescent="0.3">
      <c r="A30" s="2" t="s">
        <v>122</v>
      </c>
      <c r="B30" s="3">
        <v>45072</v>
      </c>
      <c r="C30" s="2" t="s">
        <v>173</v>
      </c>
      <c r="D30" s="2" t="s">
        <v>92</v>
      </c>
      <c r="E30" s="2">
        <v>155</v>
      </c>
      <c r="F30" s="2" t="s">
        <v>12</v>
      </c>
      <c r="G30" s="2" t="str">
        <f>VLOOKUP(Table1[[#This Row],[Rev/Exp ID]],'Rev-Exp Source'!A:C,3,0)</f>
        <v>Wolt</v>
      </c>
      <c r="H30" s="2" t="str">
        <f>VLOOKUP(Table1[[#This Row],[Rev/Exp ID]],'Rev-Exp Source'!A:B,2,0)</f>
        <v>Daşınma</v>
      </c>
    </row>
    <row r="31" spans="1:8" x14ac:dyDescent="0.3">
      <c r="A31" s="2" t="s">
        <v>123</v>
      </c>
      <c r="B31" s="3">
        <v>45135</v>
      </c>
      <c r="C31" s="2" t="s">
        <v>174</v>
      </c>
      <c r="D31" s="2" t="s">
        <v>73</v>
      </c>
      <c r="E31" s="2">
        <v>35</v>
      </c>
      <c r="F31" s="2" t="s">
        <v>12</v>
      </c>
      <c r="G31" s="2" t="str">
        <f>VLOOKUP(Table1[[#This Row],[Rev/Exp ID]],'Rev-Exp Source'!A:C,3,0)</f>
        <v>Bank xidmət haqqı</v>
      </c>
      <c r="H31" s="2" t="str">
        <f>VLOOKUP(Table1[[#This Row],[Rev/Exp ID]],'Rev-Exp Source'!A:B,2,0)</f>
        <v>Digər xərclər</v>
      </c>
    </row>
    <row r="32" spans="1:8" x14ac:dyDescent="0.3">
      <c r="A32" s="2" t="s">
        <v>124</v>
      </c>
      <c r="B32" s="3">
        <v>44765</v>
      </c>
      <c r="C32" s="2" t="s">
        <v>174</v>
      </c>
      <c r="D32" s="2" t="s">
        <v>71</v>
      </c>
      <c r="E32" s="2">
        <v>37</v>
      </c>
      <c r="F32" s="2" t="s">
        <v>12</v>
      </c>
      <c r="G32" s="2" t="str">
        <f>VLOOKUP(Table1[[#This Row],[Rev/Exp ID]],'Rev-Exp Source'!A:C,3,0)</f>
        <v>Sair ödəmələr</v>
      </c>
      <c r="H32" s="2" t="str">
        <f>VLOOKUP(Table1[[#This Row],[Rev/Exp ID]],'Rev-Exp Source'!A:B,2,0)</f>
        <v>Digər xərclər</v>
      </c>
    </row>
    <row r="33" spans="1:8" x14ac:dyDescent="0.3">
      <c r="A33" s="2" t="s">
        <v>125</v>
      </c>
      <c r="B33" s="3">
        <v>44713</v>
      </c>
      <c r="C33" s="2" t="s">
        <v>173</v>
      </c>
      <c r="D33" s="2" t="s">
        <v>91</v>
      </c>
      <c r="E33" s="2">
        <v>229</v>
      </c>
      <c r="F33" s="2" t="s">
        <v>12</v>
      </c>
      <c r="G33" s="2" t="str">
        <f>VLOOKUP(Table1[[#This Row],[Rev/Exp ID]],'Rev-Exp Source'!A:C,3,0)</f>
        <v>Bolt</v>
      </c>
      <c r="H33" s="2" t="str">
        <f>VLOOKUP(Table1[[#This Row],[Rev/Exp ID]],'Rev-Exp Source'!A:B,2,0)</f>
        <v>Daşınma</v>
      </c>
    </row>
    <row r="34" spans="1:8" x14ac:dyDescent="0.3">
      <c r="A34" s="2" t="s">
        <v>126</v>
      </c>
      <c r="B34" s="3">
        <v>45210</v>
      </c>
      <c r="C34" s="2" t="s">
        <v>174</v>
      </c>
      <c r="D34" s="2" t="s">
        <v>62</v>
      </c>
      <c r="E34" s="2">
        <v>19</v>
      </c>
      <c r="F34" s="2" t="s">
        <v>12</v>
      </c>
      <c r="G34" s="2" t="str">
        <f>VLOOKUP(Table1[[#This Row],[Rev/Exp ID]],'Rev-Exp Source'!A:C,3,0)</f>
        <v>Su pulu</v>
      </c>
      <c r="H34" s="2" t="str">
        <f>VLOOKUP(Table1[[#This Row],[Rev/Exp ID]],'Rev-Exp Source'!A:B,2,0)</f>
        <v>Kommunal</v>
      </c>
    </row>
    <row r="35" spans="1:8" x14ac:dyDescent="0.3">
      <c r="A35" s="2" t="s">
        <v>127</v>
      </c>
      <c r="B35" s="3">
        <v>44753</v>
      </c>
      <c r="C35" s="2" t="s">
        <v>174</v>
      </c>
      <c r="D35" s="2" t="s">
        <v>77</v>
      </c>
      <c r="E35" s="2">
        <v>44</v>
      </c>
      <c r="F35" s="2" t="s">
        <v>12</v>
      </c>
      <c r="G35" s="2" t="str">
        <f>VLOOKUP(Table1[[#This Row],[Rev/Exp ID]],'Rev-Exp Source'!A:C,3,0)</f>
        <v>Sadələşdirilmiş vergi</v>
      </c>
      <c r="H35" s="2" t="str">
        <f>VLOOKUP(Table1[[#This Row],[Rev/Exp ID]],'Rev-Exp Source'!A:B,2,0)</f>
        <v>Büdcə xərcləri</v>
      </c>
    </row>
    <row r="36" spans="1:8" x14ac:dyDescent="0.3">
      <c r="A36" s="2" t="s">
        <v>128</v>
      </c>
      <c r="B36" s="3">
        <v>45265</v>
      </c>
      <c r="C36" s="2" t="s">
        <v>174</v>
      </c>
      <c r="D36" s="2" t="s">
        <v>66</v>
      </c>
      <c r="E36" s="2">
        <v>10</v>
      </c>
      <c r="F36" s="2" t="s">
        <v>12</v>
      </c>
      <c r="G36" s="2" t="str">
        <f>VLOOKUP(Table1[[#This Row],[Rev/Exp ID]],'Rev-Exp Source'!A:C,3,0)</f>
        <v>Telefon / rabitə</v>
      </c>
      <c r="H36" s="2" t="str">
        <f>VLOOKUP(Table1[[#This Row],[Rev/Exp ID]],'Rev-Exp Source'!A:B,2,0)</f>
        <v>Kommunal</v>
      </c>
    </row>
    <row r="37" spans="1:8" x14ac:dyDescent="0.3">
      <c r="A37" s="2" t="s">
        <v>129</v>
      </c>
      <c r="B37" s="3">
        <v>44221</v>
      </c>
      <c r="C37" s="2" t="s">
        <v>174</v>
      </c>
      <c r="D37" s="2" t="s">
        <v>70</v>
      </c>
      <c r="E37" s="2">
        <v>23</v>
      </c>
      <c r="F37" s="2" t="s">
        <v>12</v>
      </c>
      <c r="G37" s="2" t="str">
        <f>VLOOKUP(Table1[[#This Row],[Rev/Exp ID]],'Rev-Exp Source'!A:C,3,0)</f>
        <v>Dəftərxana xərcləri</v>
      </c>
      <c r="H37" s="2" t="str">
        <f>VLOOKUP(Table1[[#This Row],[Rev/Exp ID]],'Rev-Exp Source'!A:B,2,0)</f>
        <v>Digər xərclər</v>
      </c>
    </row>
    <row r="38" spans="1:8" x14ac:dyDescent="0.3">
      <c r="A38" s="2" t="s">
        <v>130</v>
      </c>
      <c r="B38" s="3">
        <v>44240</v>
      </c>
      <c r="C38" s="2" t="s">
        <v>174</v>
      </c>
      <c r="D38" s="2" t="s">
        <v>67</v>
      </c>
      <c r="E38" s="2">
        <v>40</v>
      </c>
      <c r="F38" s="2" t="s">
        <v>12</v>
      </c>
      <c r="G38" s="2" t="str">
        <f>VLOOKUP(Table1[[#This Row],[Rev/Exp ID]],'Rev-Exp Source'!A:C,3,0)</f>
        <v>Xidmət haqqları</v>
      </c>
      <c r="H38" s="2" t="str">
        <f>VLOOKUP(Table1[[#This Row],[Rev/Exp ID]],'Rev-Exp Source'!A:B,2,0)</f>
        <v>Kommunal</v>
      </c>
    </row>
    <row r="39" spans="1:8" x14ac:dyDescent="0.3">
      <c r="A39" s="2" t="s">
        <v>131</v>
      </c>
      <c r="B39" s="3">
        <v>44312</v>
      </c>
      <c r="C39" s="2" t="s">
        <v>174</v>
      </c>
      <c r="D39" s="2" t="s">
        <v>65</v>
      </c>
      <c r="E39" s="2">
        <v>25</v>
      </c>
      <c r="F39" s="2" t="s">
        <v>12</v>
      </c>
      <c r="G39" s="2" t="str">
        <f>VLOOKUP(Table1[[#This Row],[Rev/Exp ID]],'Rev-Exp Source'!A:C,3,0)</f>
        <v>İnternet</v>
      </c>
      <c r="H39" s="2" t="str">
        <f>VLOOKUP(Table1[[#This Row],[Rev/Exp ID]],'Rev-Exp Source'!A:B,2,0)</f>
        <v>Kommunal</v>
      </c>
    </row>
    <row r="40" spans="1:8" x14ac:dyDescent="0.3">
      <c r="A40" s="2" t="s">
        <v>132</v>
      </c>
      <c r="B40" s="3">
        <v>44802</v>
      </c>
      <c r="C40" s="2" t="s">
        <v>174</v>
      </c>
      <c r="D40" s="2" t="s">
        <v>73</v>
      </c>
      <c r="E40" s="2">
        <v>16</v>
      </c>
      <c r="F40" s="2" t="s">
        <v>12</v>
      </c>
      <c r="G40" s="2" t="str">
        <f>VLOOKUP(Table1[[#This Row],[Rev/Exp ID]],'Rev-Exp Source'!A:C,3,0)</f>
        <v>Bank xidmət haqqı</v>
      </c>
      <c r="H40" s="2" t="str">
        <f>VLOOKUP(Table1[[#This Row],[Rev/Exp ID]],'Rev-Exp Source'!A:B,2,0)</f>
        <v>Digər xərclər</v>
      </c>
    </row>
    <row r="41" spans="1:8" x14ac:dyDescent="0.3">
      <c r="A41" s="2" t="s">
        <v>133</v>
      </c>
      <c r="B41" s="3">
        <v>44744</v>
      </c>
      <c r="C41" s="2" t="s">
        <v>174</v>
      </c>
      <c r="D41" s="2" t="s">
        <v>78</v>
      </c>
      <c r="E41" s="2">
        <v>3</v>
      </c>
      <c r="F41" s="2" t="s">
        <v>12</v>
      </c>
      <c r="G41" s="2" t="str">
        <f>VLOOKUP(Table1[[#This Row],[Rev/Exp ID]],'Rev-Exp Source'!A:C,3,0)</f>
        <v>Sığorta</v>
      </c>
      <c r="H41" s="2" t="str">
        <f>VLOOKUP(Table1[[#This Row],[Rev/Exp ID]],'Rev-Exp Source'!A:B,2,0)</f>
        <v>Büdcə xərcləri</v>
      </c>
    </row>
    <row r="42" spans="1:8" x14ac:dyDescent="0.3">
      <c r="A42" s="2" t="s">
        <v>134</v>
      </c>
      <c r="B42" s="3">
        <v>44477</v>
      </c>
      <c r="C42" s="2" t="s">
        <v>174</v>
      </c>
      <c r="D42" s="2" t="s">
        <v>13</v>
      </c>
      <c r="E42" s="2">
        <v>4</v>
      </c>
      <c r="F42" s="2" t="s">
        <v>12</v>
      </c>
      <c r="G42" s="2" t="str">
        <f>VLOOKUP(Table1[[#This Row],[Rev/Exp ID]],'Rev-Exp Source'!A:C,3,0)</f>
        <v>İcarə</v>
      </c>
      <c r="H42" s="2" t="str">
        <f>VLOOKUP(Table1[[#This Row],[Rev/Exp ID]],'Rev-Exp Source'!A:B,2,0)</f>
        <v>İcarə</v>
      </c>
    </row>
    <row r="43" spans="1:8" x14ac:dyDescent="0.3">
      <c r="A43" s="2" t="s">
        <v>135</v>
      </c>
      <c r="B43" s="3">
        <v>43870</v>
      </c>
      <c r="C43" s="2" t="s">
        <v>174</v>
      </c>
      <c r="D43" s="2" t="s">
        <v>78</v>
      </c>
      <c r="E43" s="2">
        <v>44</v>
      </c>
      <c r="F43" s="2" t="s">
        <v>12</v>
      </c>
      <c r="G43" s="2" t="str">
        <f>VLOOKUP(Table1[[#This Row],[Rev/Exp ID]],'Rev-Exp Source'!A:C,3,0)</f>
        <v>Sığorta</v>
      </c>
      <c r="H43" s="2" t="str">
        <f>VLOOKUP(Table1[[#This Row],[Rev/Exp ID]],'Rev-Exp Source'!A:B,2,0)</f>
        <v>Büdcə xərcləri</v>
      </c>
    </row>
    <row r="44" spans="1:8" x14ac:dyDescent="0.3">
      <c r="A44" s="2" t="s">
        <v>136</v>
      </c>
      <c r="B44" s="3">
        <v>44484</v>
      </c>
      <c r="C44" s="2" t="s">
        <v>174</v>
      </c>
      <c r="D44" s="2" t="s">
        <v>74</v>
      </c>
      <c r="E44" s="2">
        <v>9</v>
      </c>
      <c r="F44" s="2" t="s">
        <v>12</v>
      </c>
      <c r="G44" s="2" t="str">
        <f>VLOOKUP(Table1[[#This Row],[Rev/Exp ID]],'Rev-Exp Source'!A:C,3,0)</f>
        <v>DSMF</v>
      </c>
      <c r="H44" s="2" t="str">
        <f>VLOOKUP(Table1[[#This Row],[Rev/Exp ID]],'Rev-Exp Source'!A:B,2,0)</f>
        <v>Büdcə xərcləri</v>
      </c>
    </row>
    <row r="45" spans="1:8" x14ac:dyDescent="0.3">
      <c r="A45" s="2" t="s">
        <v>137</v>
      </c>
      <c r="B45" s="3">
        <v>44249</v>
      </c>
      <c r="C45" s="2" t="s">
        <v>174</v>
      </c>
      <c r="D45" s="2" t="s">
        <v>66</v>
      </c>
      <c r="E45" s="2">
        <v>31</v>
      </c>
      <c r="F45" s="2" t="s">
        <v>12</v>
      </c>
      <c r="G45" s="2" t="str">
        <f>VLOOKUP(Table1[[#This Row],[Rev/Exp ID]],'Rev-Exp Source'!A:C,3,0)</f>
        <v>Telefon / rabitə</v>
      </c>
      <c r="H45" s="2" t="str">
        <f>VLOOKUP(Table1[[#This Row],[Rev/Exp ID]],'Rev-Exp Source'!A:B,2,0)</f>
        <v>Kommunal</v>
      </c>
    </row>
    <row r="46" spans="1:8" x14ac:dyDescent="0.3">
      <c r="A46" s="2" t="s">
        <v>138</v>
      </c>
      <c r="B46" s="3">
        <v>44136</v>
      </c>
      <c r="C46" s="2" t="s">
        <v>173</v>
      </c>
      <c r="D46" s="2" t="s">
        <v>92</v>
      </c>
      <c r="E46" s="2">
        <v>139</v>
      </c>
      <c r="F46" s="2" t="s">
        <v>12</v>
      </c>
      <c r="G46" s="2" t="str">
        <f>VLOOKUP(Table1[[#This Row],[Rev/Exp ID]],'Rev-Exp Source'!A:C,3,0)</f>
        <v>Wolt</v>
      </c>
      <c r="H46" s="2" t="str">
        <f>VLOOKUP(Table1[[#This Row],[Rev/Exp ID]],'Rev-Exp Source'!A:B,2,0)</f>
        <v>Daşınma</v>
      </c>
    </row>
    <row r="47" spans="1:8" x14ac:dyDescent="0.3">
      <c r="A47" s="2" t="s">
        <v>139</v>
      </c>
      <c r="B47" s="3">
        <v>45071</v>
      </c>
      <c r="C47" s="2" t="s">
        <v>174</v>
      </c>
      <c r="D47" s="2" t="s">
        <v>76</v>
      </c>
      <c r="E47" s="2">
        <v>23</v>
      </c>
      <c r="F47" s="2" t="s">
        <v>12</v>
      </c>
      <c r="G47" s="2" t="str">
        <f>VLOOKUP(Table1[[#This Row],[Rev/Exp ID]],'Rev-Exp Source'!A:C,3,0)</f>
        <v>ƏDV</v>
      </c>
      <c r="H47" s="2" t="str">
        <f>VLOOKUP(Table1[[#This Row],[Rev/Exp ID]],'Rev-Exp Source'!A:B,2,0)</f>
        <v>Büdcə xərcləri</v>
      </c>
    </row>
    <row r="48" spans="1:8" x14ac:dyDescent="0.3">
      <c r="A48" s="2" t="s">
        <v>140</v>
      </c>
      <c r="B48" s="3">
        <v>44265</v>
      </c>
      <c r="C48" s="2" t="s">
        <v>173</v>
      </c>
      <c r="D48" s="2" t="s">
        <v>90</v>
      </c>
      <c r="E48" s="2">
        <v>46</v>
      </c>
      <c r="F48" s="2" t="s">
        <v>12</v>
      </c>
      <c r="G48" s="2" t="str">
        <f>VLOOKUP(Table1[[#This Row],[Rev/Exp ID]],'Rev-Exp Source'!A:C,3,0)</f>
        <v>Qeyri-qida</v>
      </c>
      <c r="H48" s="2" t="str">
        <f>VLOOKUP(Table1[[#This Row],[Rev/Exp ID]],'Rev-Exp Source'!A:B,2,0)</f>
        <v>Satış</v>
      </c>
    </row>
    <row r="49" spans="1:8" x14ac:dyDescent="0.3">
      <c r="A49" s="2" t="s">
        <v>141</v>
      </c>
      <c r="B49" s="3">
        <v>44972</v>
      </c>
      <c r="C49" s="2" t="s">
        <v>174</v>
      </c>
      <c r="D49" s="2" t="s">
        <v>62</v>
      </c>
      <c r="E49" s="2">
        <v>5</v>
      </c>
      <c r="F49" s="2" t="s">
        <v>12</v>
      </c>
      <c r="G49" s="2" t="str">
        <f>VLOOKUP(Table1[[#This Row],[Rev/Exp ID]],'Rev-Exp Source'!A:C,3,0)</f>
        <v>Su pulu</v>
      </c>
      <c r="H49" s="2" t="str">
        <f>VLOOKUP(Table1[[#This Row],[Rev/Exp ID]],'Rev-Exp Source'!A:B,2,0)</f>
        <v>Kommunal</v>
      </c>
    </row>
    <row r="50" spans="1:8" x14ac:dyDescent="0.3">
      <c r="A50" s="2" t="s">
        <v>142</v>
      </c>
      <c r="B50" s="3">
        <v>45203</v>
      </c>
      <c r="C50" s="2" t="s">
        <v>174</v>
      </c>
      <c r="D50" s="2" t="s">
        <v>70</v>
      </c>
      <c r="E50" s="2">
        <v>27</v>
      </c>
      <c r="F50" s="2" t="s">
        <v>12</v>
      </c>
      <c r="G50" s="2" t="str">
        <f>VLOOKUP(Table1[[#This Row],[Rev/Exp ID]],'Rev-Exp Source'!A:C,3,0)</f>
        <v>Dəftərxana xərcləri</v>
      </c>
      <c r="H50" s="2" t="str">
        <f>VLOOKUP(Table1[[#This Row],[Rev/Exp ID]],'Rev-Exp Source'!A:B,2,0)</f>
        <v>Digər xərclər</v>
      </c>
    </row>
    <row r="51" spans="1:8" x14ac:dyDescent="0.3">
      <c r="A51" s="2" t="s">
        <v>143</v>
      </c>
      <c r="B51" s="3">
        <v>44666</v>
      </c>
      <c r="C51" s="2" t="s">
        <v>173</v>
      </c>
      <c r="D51" s="2" t="s">
        <v>89</v>
      </c>
      <c r="E51" s="2">
        <v>387</v>
      </c>
      <c r="F51" s="2" t="s">
        <v>12</v>
      </c>
      <c r="G51" s="2" t="str">
        <f>VLOOKUP(Table1[[#This Row],[Rev/Exp ID]],'Rev-Exp Source'!A:C,3,0)</f>
        <v>Qida</v>
      </c>
      <c r="H51" s="2" t="str">
        <f>VLOOKUP(Table1[[#This Row],[Rev/Exp ID]],'Rev-Exp Source'!A:B,2,0)</f>
        <v>Satış</v>
      </c>
    </row>
    <row r="52" spans="1:8" x14ac:dyDescent="0.3">
      <c r="A52" s="2" t="s">
        <v>144</v>
      </c>
      <c r="B52" s="3">
        <v>44821</v>
      </c>
      <c r="C52" s="2" t="s">
        <v>174</v>
      </c>
      <c r="D52" s="2" t="s">
        <v>70</v>
      </c>
      <c r="E52" s="2">
        <v>48</v>
      </c>
      <c r="F52" s="2" t="s">
        <v>12</v>
      </c>
      <c r="G52" s="2" t="str">
        <f>VLOOKUP(Table1[[#This Row],[Rev/Exp ID]],'Rev-Exp Source'!A:C,3,0)</f>
        <v>Dəftərxana xərcləri</v>
      </c>
      <c r="H52" s="2" t="str">
        <f>VLOOKUP(Table1[[#This Row],[Rev/Exp ID]],'Rev-Exp Source'!A:B,2,0)</f>
        <v>Digər xərclər</v>
      </c>
    </row>
    <row r="53" spans="1:8" x14ac:dyDescent="0.3">
      <c r="A53" s="2" t="s">
        <v>145</v>
      </c>
      <c r="B53" s="3">
        <v>45059</v>
      </c>
      <c r="C53" s="2" t="s">
        <v>174</v>
      </c>
      <c r="D53" s="2" t="s">
        <v>71</v>
      </c>
      <c r="E53" s="2">
        <v>28</v>
      </c>
      <c r="F53" s="2" t="s">
        <v>12</v>
      </c>
      <c r="G53" s="2" t="str">
        <f>VLOOKUP(Table1[[#This Row],[Rev/Exp ID]],'Rev-Exp Source'!A:C,3,0)</f>
        <v>Sair ödəmələr</v>
      </c>
      <c r="H53" s="2" t="str">
        <f>VLOOKUP(Table1[[#This Row],[Rev/Exp ID]],'Rev-Exp Source'!A:B,2,0)</f>
        <v>Digər xərclər</v>
      </c>
    </row>
    <row r="54" spans="1:8" x14ac:dyDescent="0.3">
      <c r="A54" s="2" t="s">
        <v>146</v>
      </c>
      <c r="B54" s="3">
        <v>44884</v>
      </c>
      <c r="C54" s="2" t="s">
        <v>174</v>
      </c>
      <c r="D54" s="2" t="s">
        <v>79</v>
      </c>
      <c r="E54" s="2">
        <v>25</v>
      </c>
      <c r="F54" s="2" t="s">
        <v>12</v>
      </c>
      <c r="G54" s="2" t="str">
        <f>VLOOKUP(Table1[[#This Row],[Rev/Exp ID]],'Rev-Exp Source'!A:C,3,0)</f>
        <v>Əmlak vergisi</v>
      </c>
      <c r="H54" s="2" t="str">
        <f>VLOOKUP(Table1[[#This Row],[Rev/Exp ID]],'Rev-Exp Source'!A:B,2,0)</f>
        <v>Büdcə xərcləri</v>
      </c>
    </row>
    <row r="55" spans="1:8" x14ac:dyDescent="0.3">
      <c r="A55" s="2" t="s">
        <v>147</v>
      </c>
      <c r="B55" s="3">
        <v>43918</v>
      </c>
      <c r="C55" s="2" t="s">
        <v>173</v>
      </c>
      <c r="D55" s="2" t="s">
        <v>90</v>
      </c>
      <c r="E55" s="2">
        <v>162</v>
      </c>
      <c r="F55" s="2" t="s">
        <v>12</v>
      </c>
      <c r="G55" s="2" t="str">
        <f>VLOOKUP(Table1[[#This Row],[Rev/Exp ID]],'Rev-Exp Source'!A:C,3,0)</f>
        <v>Qeyri-qida</v>
      </c>
      <c r="H55" s="2" t="str">
        <f>VLOOKUP(Table1[[#This Row],[Rev/Exp ID]],'Rev-Exp Source'!A:B,2,0)</f>
        <v>Satış</v>
      </c>
    </row>
    <row r="56" spans="1:8" x14ac:dyDescent="0.3">
      <c r="A56" s="2" t="s">
        <v>148</v>
      </c>
      <c r="B56" s="3">
        <v>44357</v>
      </c>
      <c r="C56" s="2" t="s">
        <v>174</v>
      </c>
      <c r="D56" s="2" t="s">
        <v>65</v>
      </c>
      <c r="E56" s="2">
        <v>3</v>
      </c>
      <c r="F56" s="2" t="s">
        <v>12</v>
      </c>
      <c r="G56" s="2" t="str">
        <f>VLOOKUP(Table1[[#This Row],[Rev/Exp ID]],'Rev-Exp Source'!A:C,3,0)</f>
        <v>İnternet</v>
      </c>
      <c r="H56" s="2" t="str">
        <f>VLOOKUP(Table1[[#This Row],[Rev/Exp ID]],'Rev-Exp Source'!A:B,2,0)</f>
        <v>Kommunal</v>
      </c>
    </row>
    <row r="57" spans="1:8" x14ac:dyDescent="0.3">
      <c r="A57" s="2" t="s">
        <v>149</v>
      </c>
      <c r="B57" s="3">
        <v>45005</v>
      </c>
      <c r="C57" s="2" t="s">
        <v>174</v>
      </c>
      <c r="D57" s="2" t="s">
        <v>69</v>
      </c>
      <c r="E57" s="2">
        <v>1</v>
      </c>
      <c r="F57" s="2" t="s">
        <v>12</v>
      </c>
      <c r="G57" s="2" t="str">
        <f>VLOOKUP(Table1[[#This Row],[Rev/Exp ID]],'Rev-Exp Source'!A:C,3,0)</f>
        <v>Təsərrüfat xərci</v>
      </c>
      <c r="H57" s="2" t="str">
        <f>VLOOKUP(Table1[[#This Row],[Rev/Exp ID]],'Rev-Exp Source'!A:B,2,0)</f>
        <v>Digər xərclər</v>
      </c>
    </row>
    <row r="58" spans="1:8" x14ac:dyDescent="0.3">
      <c r="A58" s="2" t="s">
        <v>150</v>
      </c>
      <c r="B58" s="3">
        <v>44006</v>
      </c>
      <c r="C58" s="2" t="s">
        <v>174</v>
      </c>
      <c r="D58" s="2" t="s">
        <v>75</v>
      </c>
      <c r="E58" s="2">
        <v>24</v>
      </c>
      <c r="F58" s="2" t="s">
        <v>12</v>
      </c>
      <c r="G58" s="2" t="str">
        <f>VLOOKUP(Table1[[#This Row],[Rev/Exp ID]],'Rev-Exp Source'!A:C,3,0)</f>
        <v>Gəlir vergisi</v>
      </c>
      <c r="H58" s="2" t="str">
        <f>VLOOKUP(Table1[[#This Row],[Rev/Exp ID]],'Rev-Exp Source'!A:B,2,0)</f>
        <v>Büdcə xərcləri</v>
      </c>
    </row>
    <row r="59" spans="1:8" x14ac:dyDescent="0.3">
      <c r="A59" s="2" t="s">
        <v>151</v>
      </c>
      <c r="B59" s="3">
        <v>44554</v>
      </c>
      <c r="C59" s="2" t="s">
        <v>174</v>
      </c>
      <c r="D59" s="2" t="s">
        <v>75</v>
      </c>
      <c r="E59" s="2">
        <v>50</v>
      </c>
      <c r="F59" s="2" t="s">
        <v>12</v>
      </c>
      <c r="G59" s="2" t="str">
        <f>VLOOKUP(Table1[[#This Row],[Rev/Exp ID]],'Rev-Exp Source'!A:C,3,0)</f>
        <v>Gəlir vergisi</v>
      </c>
      <c r="H59" s="2" t="str">
        <f>VLOOKUP(Table1[[#This Row],[Rev/Exp ID]],'Rev-Exp Source'!A:B,2,0)</f>
        <v>Büdcə xərcləri</v>
      </c>
    </row>
    <row r="60" spans="1:8" x14ac:dyDescent="0.3">
      <c r="A60" s="2" t="s">
        <v>152</v>
      </c>
      <c r="B60" s="3">
        <v>44987</v>
      </c>
      <c r="C60" s="2" t="s">
        <v>173</v>
      </c>
      <c r="D60" s="2" t="s">
        <v>91</v>
      </c>
      <c r="E60" s="2">
        <v>85</v>
      </c>
      <c r="F60" s="2" t="s">
        <v>12</v>
      </c>
      <c r="G60" s="2" t="str">
        <f>VLOOKUP(Table1[[#This Row],[Rev/Exp ID]],'Rev-Exp Source'!A:C,3,0)</f>
        <v>Bolt</v>
      </c>
      <c r="H60" s="2" t="str">
        <f>VLOOKUP(Table1[[#This Row],[Rev/Exp ID]],'Rev-Exp Source'!A:B,2,0)</f>
        <v>Daşınma</v>
      </c>
    </row>
    <row r="61" spans="1:8" x14ac:dyDescent="0.3">
      <c r="A61" s="2" t="s">
        <v>153</v>
      </c>
      <c r="B61" s="3">
        <v>44028</v>
      </c>
      <c r="C61" s="2" t="s">
        <v>174</v>
      </c>
      <c r="D61" s="2" t="s">
        <v>74</v>
      </c>
      <c r="E61" s="2">
        <v>45</v>
      </c>
      <c r="F61" s="2" t="s">
        <v>12</v>
      </c>
      <c r="G61" s="2" t="str">
        <f>VLOOKUP(Table1[[#This Row],[Rev/Exp ID]],'Rev-Exp Source'!A:C,3,0)</f>
        <v>DSMF</v>
      </c>
      <c r="H61" s="2" t="str">
        <f>VLOOKUP(Table1[[#This Row],[Rev/Exp ID]],'Rev-Exp Source'!A:B,2,0)</f>
        <v>Büdcə xərcləri</v>
      </c>
    </row>
    <row r="62" spans="1:8" x14ac:dyDescent="0.3">
      <c r="A62" s="2" t="s">
        <v>154</v>
      </c>
      <c r="B62" s="3">
        <v>43919</v>
      </c>
      <c r="C62" s="2" t="s">
        <v>174</v>
      </c>
      <c r="D62" s="2" t="s">
        <v>63</v>
      </c>
      <c r="E62" s="2">
        <v>44</v>
      </c>
      <c r="F62" s="2" t="s">
        <v>12</v>
      </c>
      <c r="G62" s="2" t="str">
        <f>VLOOKUP(Table1[[#This Row],[Rev/Exp ID]],'Rev-Exp Source'!A:C,3,0)</f>
        <v>Qaz pulu</v>
      </c>
      <c r="H62" s="2" t="str">
        <f>VLOOKUP(Table1[[#This Row],[Rev/Exp ID]],'Rev-Exp Source'!A:B,2,0)</f>
        <v>Kommunal</v>
      </c>
    </row>
    <row r="63" spans="1:8" x14ac:dyDescent="0.3">
      <c r="A63" s="2" t="s">
        <v>155</v>
      </c>
      <c r="B63" s="3">
        <v>44036</v>
      </c>
      <c r="C63" s="2" t="s">
        <v>174</v>
      </c>
      <c r="D63" s="2" t="s">
        <v>79</v>
      </c>
      <c r="E63" s="2">
        <v>36</v>
      </c>
      <c r="F63" s="2" t="s">
        <v>12</v>
      </c>
      <c r="G63" s="2" t="str">
        <f>VLOOKUP(Table1[[#This Row],[Rev/Exp ID]],'Rev-Exp Source'!A:C,3,0)</f>
        <v>Əmlak vergisi</v>
      </c>
      <c r="H63" s="2" t="str">
        <f>VLOOKUP(Table1[[#This Row],[Rev/Exp ID]],'Rev-Exp Source'!A:B,2,0)</f>
        <v>Büdcə xərcləri</v>
      </c>
    </row>
    <row r="64" spans="1:8" x14ac:dyDescent="0.3">
      <c r="A64" s="2" t="s">
        <v>156</v>
      </c>
      <c r="B64" s="3">
        <v>44378</v>
      </c>
      <c r="C64" s="2" t="s">
        <v>174</v>
      </c>
      <c r="D64" s="2" t="s">
        <v>13</v>
      </c>
      <c r="E64" s="2">
        <v>28</v>
      </c>
      <c r="F64" s="2" t="s">
        <v>12</v>
      </c>
      <c r="G64" s="2" t="str">
        <f>VLOOKUP(Table1[[#This Row],[Rev/Exp ID]],'Rev-Exp Source'!A:C,3,0)</f>
        <v>İcarə</v>
      </c>
      <c r="H64" s="2" t="str">
        <f>VLOOKUP(Table1[[#This Row],[Rev/Exp ID]],'Rev-Exp Source'!A:B,2,0)</f>
        <v>İcarə</v>
      </c>
    </row>
    <row r="65" spans="1:8" x14ac:dyDescent="0.3">
      <c r="A65" s="2" t="s">
        <v>157</v>
      </c>
      <c r="B65" s="3">
        <v>44956</v>
      </c>
      <c r="C65" s="2" t="s">
        <v>174</v>
      </c>
      <c r="D65" s="2" t="s">
        <v>76</v>
      </c>
      <c r="E65" s="2">
        <v>13</v>
      </c>
      <c r="F65" s="2" t="s">
        <v>12</v>
      </c>
      <c r="G65" s="2" t="str">
        <f>VLOOKUP(Table1[[#This Row],[Rev/Exp ID]],'Rev-Exp Source'!A:C,3,0)</f>
        <v>ƏDV</v>
      </c>
      <c r="H65" s="2" t="str">
        <f>VLOOKUP(Table1[[#This Row],[Rev/Exp ID]],'Rev-Exp Source'!A:B,2,0)</f>
        <v>Büdcə xərcləri</v>
      </c>
    </row>
    <row r="66" spans="1:8" x14ac:dyDescent="0.3">
      <c r="A66" s="2" t="s">
        <v>158</v>
      </c>
      <c r="B66" s="3">
        <v>45104</v>
      </c>
      <c r="C66" s="2" t="s">
        <v>174</v>
      </c>
      <c r="D66" s="2" t="s">
        <v>61</v>
      </c>
      <c r="E66" s="2">
        <v>44</v>
      </c>
      <c r="F66" s="2" t="s">
        <v>12</v>
      </c>
      <c r="G66" s="2" t="str">
        <f>VLOOKUP(Table1[[#This Row],[Rev/Exp ID]],'Rev-Exp Source'!A:C,3,0)</f>
        <v>İşıq pulu</v>
      </c>
      <c r="H66" s="2" t="str">
        <f>VLOOKUP(Table1[[#This Row],[Rev/Exp ID]],'Rev-Exp Source'!A:B,2,0)</f>
        <v>Kommunal</v>
      </c>
    </row>
    <row r="67" spans="1:8" x14ac:dyDescent="0.3">
      <c r="A67" s="2" t="s">
        <v>159</v>
      </c>
      <c r="B67" s="3">
        <v>44343</v>
      </c>
      <c r="C67" s="2" t="s">
        <v>174</v>
      </c>
      <c r="D67" s="2" t="s">
        <v>63</v>
      </c>
      <c r="E67" s="2">
        <v>5</v>
      </c>
      <c r="F67" s="2" t="s">
        <v>12</v>
      </c>
      <c r="G67" s="2" t="str">
        <f>VLOOKUP(Table1[[#This Row],[Rev/Exp ID]],'Rev-Exp Source'!A:C,3,0)</f>
        <v>Qaz pulu</v>
      </c>
      <c r="H67" s="2" t="str">
        <f>VLOOKUP(Table1[[#This Row],[Rev/Exp ID]],'Rev-Exp Source'!A:B,2,0)</f>
        <v>Kommunal</v>
      </c>
    </row>
    <row r="68" spans="1:8" x14ac:dyDescent="0.3">
      <c r="A68" s="2" t="s">
        <v>160</v>
      </c>
      <c r="B68" s="3">
        <v>44132</v>
      </c>
      <c r="C68" s="2" t="s">
        <v>174</v>
      </c>
      <c r="D68" s="2" t="s">
        <v>67</v>
      </c>
      <c r="E68" s="2">
        <v>24</v>
      </c>
      <c r="F68" s="2" t="s">
        <v>12</v>
      </c>
      <c r="G68" s="2" t="str">
        <f>VLOOKUP(Table1[[#This Row],[Rev/Exp ID]],'Rev-Exp Source'!A:C,3,0)</f>
        <v>Xidmət haqqları</v>
      </c>
      <c r="H68" s="2" t="str">
        <f>VLOOKUP(Table1[[#This Row],[Rev/Exp ID]],'Rev-Exp Source'!A:B,2,0)</f>
        <v>Kommunal</v>
      </c>
    </row>
    <row r="69" spans="1:8" x14ac:dyDescent="0.3">
      <c r="A69" s="2" t="s">
        <v>161</v>
      </c>
      <c r="B69" s="3">
        <v>44250</v>
      </c>
      <c r="C69" s="2" t="s">
        <v>174</v>
      </c>
      <c r="D69" s="2" t="s">
        <v>67</v>
      </c>
      <c r="E69" s="2">
        <v>10</v>
      </c>
      <c r="F69" s="2" t="s">
        <v>12</v>
      </c>
      <c r="G69" s="2" t="str">
        <f>VLOOKUP(Table1[[#This Row],[Rev/Exp ID]],'Rev-Exp Source'!A:C,3,0)</f>
        <v>Xidmət haqqları</v>
      </c>
      <c r="H69" s="2" t="str">
        <f>VLOOKUP(Table1[[#This Row],[Rev/Exp ID]],'Rev-Exp Source'!A:B,2,0)</f>
        <v>Kommunal</v>
      </c>
    </row>
    <row r="70" spans="1:8" x14ac:dyDescent="0.3">
      <c r="A70" s="2" t="s">
        <v>162</v>
      </c>
      <c r="B70" s="3">
        <v>44795</v>
      </c>
      <c r="C70" s="2" t="s">
        <v>174</v>
      </c>
      <c r="D70" s="2" t="s">
        <v>71</v>
      </c>
      <c r="E70" s="2">
        <v>43</v>
      </c>
      <c r="F70" s="2" t="s">
        <v>12</v>
      </c>
      <c r="G70" s="2" t="str">
        <f>VLOOKUP(Table1[[#This Row],[Rev/Exp ID]],'Rev-Exp Source'!A:C,3,0)</f>
        <v>Sair ödəmələr</v>
      </c>
      <c r="H70" s="2" t="str">
        <f>VLOOKUP(Table1[[#This Row],[Rev/Exp ID]],'Rev-Exp Source'!A:B,2,0)</f>
        <v>Digər xərclər</v>
      </c>
    </row>
    <row r="71" spans="1:8" x14ac:dyDescent="0.3">
      <c r="A71" s="2" t="s">
        <v>163</v>
      </c>
      <c r="B71" s="3">
        <v>44562</v>
      </c>
      <c r="C71" s="2" t="s">
        <v>174</v>
      </c>
      <c r="D71" s="2" t="s">
        <v>66</v>
      </c>
      <c r="E71" s="2">
        <v>26</v>
      </c>
      <c r="F71" s="2" t="s">
        <v>12</v>
      </c>
      <c r="G71" s="2" t="str">
        <f>VLOOKUP(Table1[[#This Row],[Rev/Exp ID]],'Rev-Exp Source'!A:C,3,0)</f>
        <v>Telefon / rabitə</v>
      </c>
      <c r="H71" s="2" t="str">
        <f>VLOOKUP(Table1[[#This Row],[Rev/Exp ID]],'Rev-Exp Source'!A:B,2,0)</f>
        <v>Kommunal</v>
      </c>
    </row>
    <row r="72" spans="1:8" x14ac:dyDescent="0.3">
      <c r="A72" s="2" t="s">
        <v>164</v>
      </c>
      <c r="B72" s="3">
        <v>44632</v>
      </c>
      <c r="C72" s="2" t="s">
        <v>174</v>
      </c>
      <c r="D72" s="2" t="s">
        <v>64</v>
      </c>
      <c r="E72" s="2">
        <v>27</v>
      </c>
      <c r="F72" s="2" t="s">
        <v>12</v>
      </c>
      <c r="G72" s="2" t="str">
        <f>VLOOKUP(Table1[[#This Row],[Rev/Exp ID]],'Rev-Exp Source'!A:C,3,0)</f>
        <v>Bələdiyyə</v>
      </c>
      <c r="H72" s="2" t="str">
        <f>VLOOKUP(Table1[[#This Row],[Rev/Exp ID]],'Rev-Exp Source'!A:B,2,0)</f>
        <v>Kommunal</v>
      </c>
    </row>
    <row r="73" spans="1:8" x14ac:dyDescent="0.3">
      <c r="A73" s="2" t="s">
        <v>165</v>
      </c>
      <c r="B73" s="3">
        <v>44201</v>
      </c>
      <c r="C73" s="2" t="s">
        <v>174</v>
      </c>
      <c r="D73" s="2" t="s">
        <v>73</v>
      </c>
      <c r="E73" s="2">
        <v>11</v>
      </c>
      <c r="F73" s="2" t="s">
        <v>12</v>
      </c>
      <c r="G73" s="2" t="str">
        <f>VLOOKUP(Table1[[#This Row],[Rev/Exp ID]],'Rev-Exp Source'!A:C,3,0)</f>
        <v>Bank xidmət haqqı</v>
      </c>
      <c r="H73" s="2" t="str">
        <f>VLOOKUP(Table1[[#This Row],[Rev/Exp ID]],'Rev-Exp Source'!A:B,2,0)</f>
        <v>Digər xərclər</v>
      </c>
    </row>
    <row r="74" spans="1:8" x14ac:dyDescent="0.3">
      <c r="A74" s="2" t="s">
        <v>166</v>
      </c>
      <c r="B74" s="3">
        <v>44438</v>
      </c>
      <c r="C74" s="2" t="s">
        <v>174</v>
      </c>
      <c r="D74" s="2" t="s">
        <v>73</v>
      </c>
      <c r="E74" s="2">
        <v>11</v>
      </c>
      <c r="F74" s="2" t="s">
        <v>12</v>
      </c>
      <c r="G74" s="2" t="str">
        <f>VLOOKUP(Table1[[#This Row],[Rev/Exp ID]],'Rev-Exp Source'!A:C,3,0)</f>
        <v>Bank xidmət haqqı</v>
      </c>
      <c r="H74" s="2" t="str">
        <f>VLOOKUP(Table1[[#This Row],[Rev/Exp ID]],'Rev-Exp Source'!A:B,2,0)</f>
        <v>Digər xərclər</v>
      </c>
    </row>
    <row r="75" spans="1:8" x14ac:dyDescent="0.3">
      <c r="A75" s="2" t="s">
        <v>167</v>
      </c>
      <c r="B75" s="3">
        <v>43916</v>
      </c>
      <c r="C75" s="2" t="s">
        <v>174</v>
      </c>
      <c r="D75" s="2" t="s">
        <v>67</v>
      </c>
      <c r="E75" s="2">
        <v>22</v>
      </c>
      <c r="F75" s="2" t="s">
        <v>12</v>
      </c>
      <c r="G75" s="2" t="str">
        <f>VLOOKUP(Table1[[#This Row],[Rev/Exp ID]],'Rev-Exp Source'!A:C,3,0)</f>
        <v>Xidmət haqqları</v>
      </c>
      <c r="H75" s="2" t="str">
        <f>VLOOKUP(Table1[[#This Row],[Rev/Exp ID]],'Rev-Exp Source'!A:B,2,0)</f>
        <v>Kommunal</v>
      </c>
    </row>
    <row r="76" spans="1:8" x14ac:dyDescent="0.3">
      <c r="A76" s="2" t="s">
        <v>168</v>
      </c>
      <c r="B76" s="3">
        <v>44717</v>
      </c>
      <c r="C76" s="2" t="s">
        <v>174</v>
      </c>
      <c r="D76" s="2" t="s">
        <v>69</v>
      </c>
      <c r="E76" s="2">
        <v>32</v>
      </c>
      <c r="F76" s="2" t="s">
        <v>12</v>
      </c>
      <c r="G76" s="2" t="str">
        <f>VLOOKUP(Table1[[#This Row],[Rev/Exp ID]],'Rev-Exp Source'!A:C,3,0)</f>
        <v>Təsərrüfat xərci</v>
      </c>
      <c r="H76" s="2" t="str">
        <f>VLOOKUP(Table1[[#This Row],[Rev/Exp ID]],'Rev-Exp Source'!A:B,2,0)</f>
        <v>Digər xərclər</v>
      </c>
    </row>
    <row r="77" spans="1:8" x14ac:dyDescent="0.3">
      <c r="A77" s="2" t="s">
        <v>169</v>
      </c>
      <c r="B77" s="3">
        <v>43981</v>
      </c>
      <c r="C77" s="2" t="s">
        <v>174</v>
      </c>
      <c r="D77" s="2" t="s">
        <v>62</v>
      </c>
      <c r="E77" s="2">
        <v>19</v>
      </c>
      <c r="F77" s="2" t="s">
        <v>12</v>
      </c>
      <c r="G77" s="2" t="str">
        <f>VLOOKUP(Table1[[#This Row],[Rev/Exp ID]],'Rev-Exp Source'!A:C,3,0)</f>
        <v>Su pulu</v>
      </c>
      <c r="H77" s="2" t="str">
        <f>VLOOKUP(Table1[[#This Row],[Rev/Exp ID]],'Rev-Exp Source'!A:B,2,0)</f>
        <v>Kommunal</v>
      </c>
    </row>
    <row r="78" spans="1:8" x14ac:dyDescent="0.3">
      <c r="A78" s="2" t="s">
        <v>170</v>
      </c>
      <c r="B78" s="3">
        <v>43899</v>
      </c>
      <c r="C78" s="2" t="s">
        <v>173</v>
      </c>
      <c r="D78" s="2" t="s">
        <v>91</v>
      </c>
      <c r="E78" s="2">
        <v>352</v>
      </c>
      <c r="F78" s="2" t="s">
        <v>12</v>
      </c>
      <c r="G78" s="2" t="str">
        <f>VLOOKUP(Table1[[#This Row],[Rev/Exp ID]],'Rev-Exp Source'!A:C,3,0)</f>
        <v>Bolt</v>
      </c>
      <c r="H78" s="2" t="str">
        <f>VLOOKUP(Table1[[#This Row],[Rev/Exp ID]],'Rev-Exp Source'!A:B,2,0)</f>
        <v>Daşınma</v>
      </c>
    </row>
    <row r="79" spans="1:8" x14ac:dyDescent="0.3">
      <c r="A79" s="2" t="s">
        <v>171</v>
      </c>
      <c r="B79" s="3">
        <v>44565</v>
      </c>
      <c r="C79" s="2" t="s">
        <v>174</v>
      </c>
      <c r="D79" s="2" t="s">
        <v>62</v>
      </c>
      <c r="E79" s="2">
        <v>28</v>
      </c>
      <c r="F79" s="2" t="s">
        <v>12</v>
      </c>
      <c r="G79" s="2" t="str">
        <f>VLOOKUP(Table1[[#This Row],[Rev/Exp ID]],'Rev-Exp Source'!A:C,3,0)</f>
        <v>Su pulu</v>
      </c>
      <c r="H79" s="2" t="str">
        <f>VLOOKUP(Table1[[#This Row],[Rev/Exp ID]],'Rev-Exp Source'!A:B,2,0)</f>
        <v>Kommunal</v>
      </c>
    </row>
    <row r="80" spans="1:8" x14ac:dyDescent="0.3">
      <c r="A80" s="2" t="s">
        <v>172</v>
      </c>
      <c r="B80" s="3">
        <v>44919</v>
      </c>
      <c r="C80" s="2" t="s">
        <v>174</v>
      </c>
      <c r="D80" s="2" t="s">
        <v>72</v>
      </c>
      <c r="E80" s="2">
        <v>12</v>
      </c>
      <c r="F80" s="2" t="s">
        <v>12</v>
      </c>
      <c r="G80" s="2" t="str">
        <f>VLOOKUP(Table1[[#This Row],[Rev/Exp ID]],'Rev-Exp Source'!A:C,3,0)</f>
        <v>Ezamiyyət xərcləri</v>
      </c>
      <c r="H80" s="2" t="str">
        <f>VLOOKUP(Table1[[#This Row],[Rev/Exp ID]],'Rev-Exp Source'!A:B,2,0)</f>
        <v>Digər xərclər</v>
      </c>
    </row>
    <row r="81" spans="1:8" x14ac:dyDescent="0.3">
      <c r="A81" s="2" t="s">
        <v>180</v>
      </c>
      <c r="B81" s="3">
        <v>45275</v>
      </c>
      <c r="C81" s="2" t="s">
        <v>173</v>
      </c>
      <c r="D81" s="2" t="s">
        <v>89</v>
      </c>
      <c r="E81" s="2">
        <v>3000</v>
      </c>
      <c r="F81" s="2" t="s">
        <v>12</v>
      </c>
      <c r="G81" s="16" t="str">
        <f>VLOOKUP(Table1[[#This Row],[Rev/Exp ID]],'Rev-Exp Source'!A:C,3,0)</f>
        <v>Qida</v>
      </c>
      <c r="H81" s="16" t="str">
        <f>VLOOKUP(Table1[[#This Row],[Rev/Exp ID]],'Rev-Exp Source'!A:B,2,0)</f>
        <v>Satış</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Source</vt:lpstr>
      <vt:lpstr>Home</vt:lpstr>
      <vt:lpstr>Pivot</vt:lpstr>
      <vt:lpstr>Calendar</vt:lpstr>
      <vt:lpstr>Rev-Exp Source</vt:lpstr>
      <vt:lpstr>Main 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Sanan Gambarov</dc:creator>
  <cp:lastModifiedBy>Sanan Gambarov</cp:lastModifiedBy>
  <dcterms:created xsi:type="dcterms:W3CDTF">2023-12-02T04:27:03Z</dcterms:created>
  <dcterms:modified xsi:type="dcterms:W3CDTF">2024-05-26T09:03:35Z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2023-12-02T04:27:25Z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c7784f04-d21e-4b87-bde2-c4117a935a3d</vt:lpwstr>
  </property>
  <property fmtid="{D5CDD505-2E9C-101B-9397-08002B2CF9AE}" pid="7" name="MSIP_Label_defa4170-0d19-0005-0004-bc88714345d2_ActionId">
    <vt:lpwstr>d382d0e5-0458-49e9-883c-357173d5b324</vt:lpwstr>
  </property>
  <property fmtid="{D5CDD505-2E9C-101B-9397-08002B2CF9AE}" pid="8" name="MSIP_Label_defa4170-0d19-0005-0004-bc88714345d2_ContentBits">
    <vt:lpwstr>0</vt:lpwstr>
  </property>
</Properties>
</file>